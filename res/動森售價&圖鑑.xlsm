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nimal Crossing\"/>
    </mc:Choice>
  </mc:AlternateContent>
  <xr:revisionPtr revIDLastSave="0" documentId="13_ncr:1_{2072F8BD-B961-4C93-9B34-CC97BEFB7193}" xr6:coauthVersionLast="45" xr6:coauthVersionMax="45" xr10:uidLastSave="{00000000-0000-0000-0000-000000000000}"/>
  <bookViews>
    <workbookView xWindow="-120" yWindow="-120" windowWidth="38640" windowHeight="20625" activeTab="3" xr2:uid="{00000000-000D-0000-FFFF-FFFF00000000}"/>
  </bookViews>
  <sheets>
    <sheet name="價格" sheetId="1" r:id="rId1"/>
    <sheet name="魚類月份" sheetId="2" r:id="rId2"/>
    <sheet name="蟲類月份" sheetId="3" r:id="rId3"/>
    <sheet name="fish" sheetId="5" r:id="rId4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5" l="1"/>
  <c r="A6" i="5"/>
  <c r="A8" i="5"/>
  <c r="A10" i="5"/>
  <c r="A12" i="5"/>
  <c r="A14" i="5"/>
  <c r="A16" i="5"/>
  <c r="A18" i="5"/>
  <c r="A20" i="5"/>
  <c r="A22" i="5"/>
  <c r="A24" i="5"/>
  <c r="A26" i="5"/>
  <c r="A28" i="5"/>
  <c r="A30" i="5"/>
  <c r="A32" i="5"/>
  <c r="A34" i="5"/>
  <c r="A36" i="5"/>
  <c r="A38" i="5"/>
  <c r="A40" i="5"/>
  <c r="A42" i="5"/>
  <c r="A44" i="5"/>
  <c r="A46" i="5"/>
  <c r="A48" i="5"/>
  <c r="A50" i="5"/>
  <c r="A52" i="5"/>
  <c r="A54" i="5"/>
  <c r="A56" i="5"/>
  <c r="A58" i="5"/>
  <c r="A60" i="5"/>
  <c r="A62" i="5"/>
  <c r="A64" i="5"/>
  <c r="A66" i="5"/>
  <c r="A68" i="5"/>
  <c r="A70" i="5"/>
  <c r="A72" i="5"/>
  <c r="A74" i="5"/>
  <c r="A76" i="5"/>
  <c r="A78" i="5"/>
  <c r="A80" i="5"/>
  <c r="A82" i="5"/>
  <c r="A84" i="5"/>
  <c r="A86" i="5"/>
  <c r="A88" i="5"/>
  <c r="A90" i="5"/>
  <c r="A92" i="5"/>
  <c r="A94" i="5"/>
  <c r="A96" i="5"/>
  <c r="A98" i="5"/>
  <c r="A100" i="5"/>
  <c r="A102" i="5"/>
  <c r="A104" i="5"/>
  <c r="A106" i="5"/>
  <c r="A108" i="5"/>
  <c r="A110" i="5"/>
  <c r="A112" i="5"/>
  <c r="A114" i="5"/>
  <c r="A116" i="5"/>
  <c r="A118" i="5"/>
  <c r="A120" i="5"/>
  <c r="A122" i="5"/>
  <c r="A124" i="5"/>
  <c r="A126" i="5"/>
  <c r="A128" i="5"/>
  <c r="A130" i="5"/>
  <c r="A132" i="5"/>
  <c r="A134" i="5"/>
  <c r="A136" i="5"/>
  <c r="A138" i="5"/>
  <c r="A140" i="5"/>
  <c r="A142" i="5"/>
  <c r="A144" i="5"/>
  <c r="A146" i="5"/>
  <c r="A148" i="5"/>
  <c r="A150" i="5"/>
  <c r="A152" i="5"/>
  <c r="A154" i="5"/>
  <c r="A2" i="5"/>
  <c r="G3" i="5" l="1" a="1"/>
  <c r="I3" i="5" a="1"/>
  <c r="K3" i="5" a="1"/>
  <c r="M3" i="5" a="1"/>
  <c r="O3" i="5" a="1"/>
  <c r="Q3" i="5" a="1"/>
  <c r="G4" i="5" a="1"/>
  <c r="H3" i="5" a="1"/>
  <c r="K4" i="5" a="1"/>
  <c r="N4" i="5" a="1"/>
  <c r="G5" i="5" a="1"/>
  <c r="J5" i="5" a="1"/>
  <c r="O5" i="5" a="1"/>
  <c r="R5" i="5" a="1"/>
  <c r="K6" i="5" a="1"/>
  <c r="N6" i="5" a="1"/>
  <c r="G7" i="5" a="1"/>
  <c r="J7" i="5" a="1"/>
  <c r="O7" i="5" a="1"/>
  <c r="R7" i="5" a="1"/>
  <c r="K8" i="5" a="1"/>
  <c r="N8" i="5" a="1"/>
  <c r="G9" i="5" a="1"/>
  <c r="J9" i="5" a="1"/>
  <c r="O9" i="5" a="1"/>
  <c r="R9" i="5" a="1"/>
  <c r="K10" i="5" a="1"/>
  <c r="N10" i="5" a="1"/>
  <c r="G11" i="5" a="1"/>
  <c r="J11" i="5" a="1"/>
  <c r="O11" i="5" a="1"/>
  <c r="R11" i="5" a="1"/>
  <c r="K12" i="5" a="1"/>
  <c r="N12" i="5" a="1"/>
  <c r="G13" i="5" a="1"/>
  <c r="J13" i="5" a="1"/>
  <c r="O13" i="5" a="1"/>
  <c r="R13" i="5" a="1"/>
  <c r="K14" i="5" a="1"/>
  <c r="N14" i="5" a="1"/>
  <c r="G15" i="5" a="1"/>
  <c r="J15" i="5" a="1"/>
  <c r="O15" i="5" a="1"/>
  <c r="R15" i="5" a="1"/>
  <c r="K16" i="5" a="1"/>
  <c r="N16" i="5" a="1"/>
  <c r="G17" i="5" a="1"/>
  <c r="J3" i="5" a="1"/>
  <c r="N3" i="5" a="1"/>
  <c r="R3" i="5" a="1"/>
  <c r="I4" i="5" a="1"/>
  <c r="L4" i="5" a="1"/>
  <c r="Q4" i="5" a="1"/>
  <c r="H5" i="5" a="1"/>
  <c r="M5" i="5" a="1"/>
  <c r="P5" i="5" a="1"/>
  <c r="I6" i="5" a="1"/>
  <c r="L6" i="5" a="1"/>
  <c r="Q6" i="5" a="1"/>
  <c r="H7" i="5" a="1"/>
  <c r="M7" i="5" a="1"/>
  <c r="P7" i="5" a="1"/>
  <c r="I8" i="5" a="1"/>
  <c r="L8" i="5" a="1"/>
  <c r="Q8" i="5" a="1"/>
  <c r="H9" i="5" a="1"/>
  <c r="M9" i="5" a="1"/>
  <c r="P9" i="5" a="1"/>
  <c r="I10" i="5" a="1"/>
  <c r="L10" i="5" a="1"/>
  <c r="Q10" i="5" a="1"/>
  <c r="H11" i="5" a="1"/>
  <c r="M11" i="5" a="1"/>
  <c r="P11" i="5" a="1"/>
  <c r="I12" i="5" a="1"/>
  <c r="L12" i="5" a="1"/>
  <c r="Q12" i="5" a="1"/>
  <c r="H13" i="5" a="1"/>
  <c r="M13" i="5" a="1"/>
  <c r="P13" i="5" a="1"/>
  <c r="I14" i="5" a="1"/>
  <c r="L14" i="5" a="1"/>
  <c r="Q14" i="5" a="1"/>
  <c r="H15" i="5" a="1"/>
  <c r="M15" i="5" a="1"/>
  <c r="P15" i="5" a="1"/>
  <c r="I16" i="5" a="1"/>
  <c r="L16" i="5" a="1"/>
  <c r="Q16" i="5" a="1"/>
  <c r="H17" i="5" a="1"/>
  <c r="J17" i="5" a="1"/>
  <c r="L17" i="5" a="1"/>
  <c r="N17" i="5" a="1"/>
  <c r="J4" i="5" a="1"/>
  <c r="O4" i="5" a="1"/>
  <c r="R4" i="5" a="1"/>
  <c r="K5" i="5" a="1"/>
  <c r="N5" i="5" a="1"/>
  <c r="G6" i="5" a="1"/>
  <c r="J6" i="5" a="1"/>
  <c r="O6" i="5" a="1"/>
  <c r="R6" i="5" a="1"/>
  <c r="K7" i="5" a="1"/>
  <c r="N7" i="5" a="1"/>
  <c r="G8" i="5" a="1"/>
  <c r="J8" i="5" a="1"/>
  <c r="O8" i="5" a="1"/>
  <c r="R8" i="5" a="1"/>
  <c r="K9" i="5" a="1"/>
  <c r="N9" i="5" a="1"/>
  <c r="G10" i="5" a="1"/>
  <c r="J10" i="5" a="1"/>
  <c r="O10" i="5" a="1"/>
  <c r="R10" i="5" a="1"/>
  <c r="K11" i="5" a="1"/>
  <c r="N11" i="5" a="1"/>
  <c r="G12" i="5" a="1"/>
  <c r="J12" i="5" a="1"/>
  <c r="O12" i="5" a="1"/>
  <c r="R12" i="5" a="1"/>
  <c r="K13" i="5" a="1"/>
  <c r="N13" i="5" a="1"/>
  <c r="G14" i="5" a="1"/>
  <c r="J14" i="5" a="1"/>
  <c r="O14" i="5" a="1"/>
  <c r="R14" i="5" a="1"/>
  <c r="K15" i="5" a="1"/>
  <c r="N15" i="5" a="1"/>
  <c r="G16" i="5" a="1"/>
  <c r="J16" i="5" a="1"/>
  <c r="O16" i="5" a="1"/>
  <c r="R16" i="5" a="1"/>
  <c r="L3" i="5" a="1"/>
  <c r="M4" i="5" a="1"/>
  <c r="L5" i="5" a="1"/>
  <c r="I7" i="5" a="1"/>
  <c r="H8" i="5" a="1"/>
  <c r="Q9" i="5" a="1"/>
  <c r="P10" i="5" a="1"/>
  <c r="M12" i="5" a="1"/>
  <c r="L13" i="5" a="1"/>
  <c r="I15" i="5" a="1"/>
  <c r="H16" i="5" a="1"/>
  <c r="O17" i="5" a="1"/>
  <c r="G18" i="5" a="1"/>
  <c r="K18" i="5" a="1"/>
  <c r="O18" i="5" a="1"/>
  <c r="G19" i="5" a="1"/>
  <c r="K19" i="5" a="1"/>
  <c r="O19" i="5" a="1"/>
  <c r="G20" i="5" a="1"/>
  <c r="K20" i="5" a="1"/>
  <c r="O20" i="5" a="1"/>
  <c r="G21" i="5" a="1"/>
  <c r="K21" i="5" a="1"/>
  <c r="O21" i="5" a="1"/>
  <c r="G22" i="5" a="1"/>
  <c r="K22" i="5" a="1"/>
  <c r="O22" i="5" a="1"/>
  <c r="G23" i="5" a="1"/>
  <c r="J23" i="5" a="1"/>
  <c r="L23" i="5" a="1"/>
  <c r="N23" i="5" a="1"/>
  <c r="P23" i="5" a="1"/>
  <c r="R23" i="5" a="1"/>
  <c r="H24" i="5" a="1"/>
  <c r="J24" i="5" a="1"/>
  <c r="L24" i="5" a="1"/>
  <c r="N24" i="5" a="1"/>
  <c r="P24" i="5" a="1"/>
  <c r="R24" i="5" a="1"/>
  <c r="H25" i="5" a="1"/>
  <c r="J25" i="5" a="1"/>
  <c r="L25" i="5" a="1"/>
  <c r="N25" i="5" a="1"/>
  <c r="P25" i="5" a="1"/>
  <c r="R25" i="5" a="1"/>
  <c r="H26" i="5" a="1"/>
  <c r="J26" i="5" a="1"/>
  <c r="L26" i="5" a="1"/>
  <c r="N26" i="5" a="1"/>
  <c r="P26" i="5" a="1"/>
  <c r="R26" i="5" a="1"/>
  <c r="H27" i="5" a="1"/>
  <c r="J27" i="5" a="1"/>
  <c r="L27" i="5" a="1"/>
  <c r="N27" i="5" a="1"/>
  <c r="P27" i="5" a="1"/>
  <c r="R27" i="5" a="1"/>
  <c r="H28" i="5" a="1"/>
  <c r="J28" i="5" a="1"/>
  <c r="L28" i="5" a="1"/>
  <c r="N28" i="5" a="1"/>
  <c r="P28" i="5" a="1"/>
  <c r="R28" i="5" a="1"/>
  <c r="H29" i="5" a="1"/>
  <c r="J29" i="5" a="1"/>
  <c r="L29" i="5" a="1"/>
  <c r="N29" i="5" a="1"/>
  <c r="P29" i="5" a="1"/>
  <c r="R29" i="5" a="1"/>
  <c r="H30" i="5" a="1"/>
  <c r="J30" i="5" a="1"/>
  <c r="L30" i="5" a="1"/>
  <c r="N30" i="5" a="1"/>
  <c r="P30" i="5" a="1"/>
  <c r="R30" i="5" a="1"/>
  <c r="H31" i="5" a="1"/>
  <c r="J31" i="5" a="1"/>
  <c r="L31" i="5" a="1"/>
  <c r="N31" i="5" a="1"/>
  <c r="P31" i="5" a="1"/>
  <c r="R31" i="5" a="1"/>
  <c r="H32" i="5" a="1"/>
  <c r="J32" i="5" a="1"/>
  <c r="L32" i="5" a="1"/>
  <c r="N32" i="5" a="1"/>
  <c r="P32" i="5" a="1"/>
  <c r="R32" i="5" a="1"/>
  <c r="H33" i="5" a="1"/>
  <c r="J33" i="5" a="1"/>
  <c r="L33" i="5" a="1"/>
  <c r="N33" i="5" a="1"/>
  <c r="P33" i="5" a="1"/>
  <c r="R33" i="5" a="1"/>
  <c r="H34" i="5" a="1"/>
  <c r="J34" i="5" a="1"/>
  <c r="L34" i="5" a="1"/>
  <c r="N34" i="5" a="1"/>
  <c r="P34" i="5" a="1"/>
  <c r="R34" i="5" a="1"/>
  <c r="H35" i="5" a="1"/>
  <c r="J35" i="5" a="1"/>
  <c r="L35" i="5" a="1"/>
  <c r="N35" i="5" a="1"/>
  <c r="P3" i="5" a="1"/>
  <c r="P4" i="5" a="1"/>
  <c r="M6" i="5" a="1"/>
  <c r="L7" i="5" a="1"/>
  <c r="I9" i="5" a="1"/>
  <c r="H10" i="5" a="1"/>
  <c r="Q11" i="5" a="1"/>
  <c r="P12" i="5" a="1"/>
  <c r="M14" i="5" a="1"/>
  <c r="L15" i="5" a="1"/>
  <c r="I17" i="5" a="1"/>
  <c r="P17" i="5" a="1"/>
  <c r="H18" i="5" a="1"/>
  <c r="L18" i="5" a="1"/>
  <c r="P18" i="5" a="1"/>
  <c r="H19" i="5" a="1"/>
  <c r="L19" i="5" a="1"/>
  <c r="P19" i="5" a="1"/>
  <c r="H20" i="5" a="1"/>
  <c r="L20" i="5" a="1"/>
  <c r="P20" i="5" a="1"/>
  <c r="H21" i="5" a="1"/>
  <c r="L21" i="5" a="1"/>
  <c r="P21" i="5" a="1"/>
  <c r="H22" i="5" a="1"/>
  <c r="L22" i="5" a="1"/>
  <c r="P22" i="5" a="1"/>
  <c r="H23" i="5" a="1"/>
  <c r="H4" i="5" a="1"/>
  <c r="Q5" i="5" a="1"/>
  <c r="P6" i="5" a="1"/>
  <c r="M8" i="5" a="1"/>
  <c r="L9" i="5" a="1"/>
  <c r="I11" i="5" a="1"/>
  <c r="H12" i="5" a="1"/>
  <c r="Q13" i="5" a="1"/>
  <c r="P14" i="5" a="1"/>
  <c r="M16" i="5" a="1"/>
  <c r="K17" i="5" a="1"/>
  <c r="Q17" i="5" a="1"/>
  <c r="I18" i="5" a="1"/>
  <c r="M18" i="5" a="1"/>
  <c r="Q18" i="5" a="1"/>
  <c r="I19" i="5" a="1"/>
  <c r="M19" i="5" a="1"/>
  <c r="Q19" i="5" a="1"/>
  <c r="I20" i="5" a="1"/>
  <c r="M20" i="5" a="1"/>
  <c r="Q20" i="5" a="1"/>
  <c r="I21" i="5" a="1"/>
  <c r="M21" i="5" a="1"/>
  <c r="Q21" i="5" a="1"/>
  <c r="I22" i="5" a="1"/>
  <c r="M22" i="5" a="1"/>
  <c r="Q22" i="5" a="1"/>
  <c r="I23" i="5" a="1"/>
  <c r="K23" i="5" a="1"/>
  <c r="M23" i="5" a="1"/>
  <c r="O23" i="5" a="1"/>
  <c r="Q23" i="5" a="1"/>
  <c r="G24" i="5" a="1"/>
  <c r="I24" i="5" a="1"/>
  <c r="K24" i="5" a="1"/>
  <c r="M24" i="5" a="1"/>
  <c r="O24" i="5" a="1"/>
  <c r="Q24" i="5" a="1"/>
  <c r="G25" i="5" a="1"/>
  <c r="I25" i="5" a="1"/>
  <c r="K25" i="5" a="1"/>
  <c r="M25" i="5" a="1"/>
  <c r="O25" i="5" a="1"/>
  <c r="Q25" i="5" a="1"/>
  <c r="G26" i="5" a="1"/>
  <c r="I26" i="5" a="1"/>
  <c r="K26" i="5" a="1"/>
  <c r="M26" i="5" a="1"/>
  <c r="O26" i="5" a="1"/>
  <c r="Q26" i="5" a="1"/>
  <c r="G27" i="5" a="1"/>
  <c r="I27" i="5" a="1"/>
  <c r="K27" i="5" a="1"/>
  <c r="M27" i="5" a="1"/>
  <c r="O27" i="5" a="1"/>
  <c r="Q27" i="5" a="1"/>
  <c r="G28" i="5" a="1"/>
  <c r="I28" i="5" a="1"/>
  <c r="K28" i="5" a="1"/>
  <c r="M28" i="5" a="1"/>
  <c r="O28" i="5" a="1"/>
  <c r="Q28" i="5" a="1"/>
  <c r="G29" i="5" a="1"/>
  <c r="I29" i="5" a="1"/>
  <c r="K29" i="5" a="1"/>
  <c r="M29" i="5" a="1"/>
  <c r="O29" i="5" a="1"/>
  <c r="Q29" i="5" a="1"/>
  <c r="G30" i="5" a="1"/>
  <c r="I30" i="5" a="1"/>
  <c r="K30" i="5" a="1"/>
  <c r="M30" i="5" a="1"/>
  <c r="O30" i="5" a="1"/>
  <c r="Q30" i="5" a="1"/>
  <c r="G31" i="5" a="1"/>
  <c r="I31" i="5" a="1"/>
  <c r="K31" i="5" a="1"/>
  <c r="M31" i="5" a="1"/>
  <c r="O31" i="5" a="1"/>
  <c r="Q31" i="5" a="1"/>
  <c r="G32" i="5" a="1"/>
  <c r="I32" i="5" a="1"/>
  <c r="K32" i="5" a="1"/>
  <c r="M32" i="5" a="1"/>
  <c r="O32" i="5" a="1"/>
  <c r="Q32" i="5" a="1"/>
  <c r="G33" i="5" a="1"/>
  <c r="I33" i="5" a="1"/>
  <c r="K33" i="5" a="1"/>
  <c r="M33" i="5" a="1"/>
  <c r="O33" i="5" a="1"/>
  <c r="Q33" i="5" a="1"/>
  <c r="G34" i="5" a="1"/>
  <c r="I34" i="5" a="1"/>
  <c r="K34" i="5" a="1"/>
  <c r="M34" i="5" a="1"/>
  <c r="O34" i="5" a="1"/>
  <c r="Q34" i="5" a="1"/>
  <c r="G35" i="5" a="1"/>
  <c r="I35" i="5" a="1"/>
  <c r="K35" i="5" a="1"/>
  <c r="M35" i="5" a="1"/>
  <c r="Q7" i="5" a="1"/>
  <c r="I5" i="5" a="1"/>
  <c r="P8" i="5" a="1"/>
  <c r="Q15" i="5" a="1"/>
  <c r="J18" i="5" a="1"/>
  <c r="N19" i="5" a="1"/>
  <c r="R20" i="5" a="1"/>
  <c r="J22" i="5" a="1"/>
  <c r="P35" i="5" a="1"/>
  <c r="G36" i="5" a="1"/>
  <c r="L36" i="5" a="1"/>
  <c r="O36" i="5" a="1"/>
  <c r="H37" i="5" a="1"/>
  <c r="K37" i="5" a="1"/>
  <c r="P37" i="5" a="1"/>
  <c r="G38" i="5" a="1"/>
  <c r="L38" i="5" a="1"/>
  <c r="O38" i="5" a="1"/>
  <c r="H39" i="5" a="1"/>
  <c r="K39" i="5" a="1"/>
  <c r="P39" i="5" a="1"/>
  <c r="G40" i="5" a="1"/>
  <c r="L40" i="5" a="1"/>
  <c r="O40" i="5" a="1"/>
  <c r="H41" i="5" a="1"/>
  <c r="K41" i="5" a="1"/>
  <c r="P41" i="5" a="1"/>
  <c r="G42" i="5" a="1"/>
  <c r="L42" i="5" a="1"/>
  <c r="O42" i="5" a="1"/>
  <c r="H43" i="5" a="1"/>
  <c r="K43" i="5" a="1"/>
  <c r="P43" i="5" a="1"/>
  <c r="G44" i="5" a="1"/>
  <c r="L44" i="5" a="1"/>
  <c r="O44" i="5" a="1"/>
  <c r="H45" i="5" a="1"/>
  <c r="K45" i="5" a="1"/>
  <c r="P45" i="5" a="1"/>
  <c r="G46" i="5" a="1"/>
  <c r="L46" i="5" a="1"/>
  <c r="O46" i="5" a="1"/>
  <c r="H6" i="5" a="1"/>
  <c r="I13" i="5" a="1"/>
  <c r="P16" i="5" a="1"/>
  <c r="N18" i="5" a="1"/>
  <c r="R19" i="5" a="1"/>
  <c r="J21" i="5" a="1"/>
  <c r="N22" i="5" a="1"/>
  <c r="Q35" i="5" a="1"/>
  <c r="J36" i="5" a="1"/>
  <c r="M36" i="5" a="1"/>
  <c r="R36" i="5" a="1"/>
  <c r="I37" i="5" a="1"/>
  <c r="N37" i="5" a="1"/>
  <c r="Q37" i="5" a="1"/>
  <c r="J38" i="5" a="1"/>
  <c r="M38" i="5" a="1"/>
  <c r="R38" i="5" a="1"/>
  <c r="I39" i="5" a="1"/>
  <c r="N39" i="5" a="1"/>
  <c r="Q39" i="5" a="1"/>
  <c r="J40" i="5" a="1"/>
  <c r="M40" i="5" a="1"/>
  <c r="R40" i="5" a="1"/>
  <c r="I41" i="5" a="1"/>
  <c r="N41" i="5" a="1"/>
  <c r="Q41" i="5" a="1"/>
  <c r="J42" i="5" a="1"/>
  <c r="M42" i="5" a="1"/>
  <c r="R42" i="5" a="1"/>
  <c r="I43" i="5" a="1"/>
  <c r="N43" i="5" a="1"/>
  <c r="Q43" i="5" a="1"/>
  <c r="J44" i="5" a="1"/>
  <c r="M44" i="5" a="1"/>
  <c r="R44" i="5" a="1"/>
  <c r="I45" i="5" a="1"/>
  <c r="N45" i="5" a="1"/>
  <c r="Q45" i="5" a="1"/>
  <c r="J46" i="5" a="1"/>
  <c r="M46" i="5" a="1"/>
  <c r="R46" i="5" a="1"/>
  <c r="I47" i="5" a="1"/>
  <c r="N47" i="5" a="1"/>
  <c r="J19" i="5" a="1"/>
  <c r="R21" i="5" a="1"/>
  <c r="I36" i="5" a="1"/>
  <c r="N36" i="5" a="1"/>
  <c r="M37" i="5" a="1"/>
  <c r="R37" i="5" a="1"/>
  <c r="Q38" i="5" a="1"/>
  <c r="J39" i="5" a="1"/>
  <c r="I40" i="5" a="1"/>
  <c r="N40" i="5" a="1"/>
  <c r="M41" i="5" a="1"/>
  <c r="R41" i="5" a="1"/>
  <c r="Q42" i="5" a="1"/>
  <c r="J43" i="5" a="1"/>
  <c r="I44" i="5" a="1"/>
  <c r="N44" i="5" a="1"/>
  <c r="M45" i="5" a="1"/>
  <c r="R45" i="5" a="1"/>
  <c r="Q46" i="5" a="1"/>
  <c r="M47" i="5" a="1"/>
  <c r="P47" i="5" a="1"/>
  <c r="G48" i="5" a="1"/>
  <c r="L48" i="5" a="1"/>
  <c r="O48" i="5" a="1"/>
  <c r="H49" i="5" a="1"/>
  <c r="K49" i="5" a="1"/>
  <c r="P49" i="5" a="1"/>
  <c r="G50" i="5" a="1"/>
  <c r="L50" i="5" a="1"/>
  <c r="O50" i="5" a="1"/>
  <c r="Q50" i="5" a="1"/>
  <c r="G51" i="5" a="1"/>
  <c r="I51" i="5" a="1"/>
  <c r="K51" i="5" a="1"/>
  <c r="M51" i="5" a="1"/>
  <c r="O51" i="5" a="1"/>
  <c r="Q51" i="5" a="1"/>
  <c r="G52" i="5" a="1"/>
  <c r="I52" i="5" a="1"/>
  <c r="K52" i="5" a="1"/>
  <c r="M52" i="5" a="1"/>
  <c r="O52" i="5" a="1"/>
  <c r="Q52" i="5" a="1"/>
  <c r="G53" i="5" a="1"/>
  <c r="I53" i="5" a="1"/>
  <c r="K53" i="5" a="1"/>
  <c r="M53" i="5" a="1"/>
  <c r="O53" i="5" a="1"/>
  <c r="Q53" i="5" a="1"/>
  <c r="G54" i="5" a="1"/>
  <c r="I54" i="5" a="1"/>
  <c r="K54" i="5" a="1"/>
  <c r="M54" i="5" a="1"/>
  <c r="O54" i="5" a="1"/>
  <c r="Q54" i="5" a="1"/>
  <c r="G55" i="5" a="1"/>
  <c r="I55" i="5" a="1"/>
  <c r="K55" i="5" a="1"/>
  <c r="M55" i="5" a="1"/>
  <c r="O55" i="5" a="1"/>
  <c r="Q55" i="5" a="1"/>
  <c r="G56" i="5" a="1"/>
  <c r="I56" i="5" a="1"/>
  <c r="K56" i="5" a="1"/>
  <c r="M56" i="5" a="1"/>
  <c r="O56" i="5" a="1"/>
  <c r="Q56" i="5" a="1"/>
  <c r="G57" i="5" a="1"/>
  <c r="I57" i="5" a="1"/>
  <c r="K57" i="5" a="1"/>
  <c r="M57" i="5" a="1"/>
  <c r="O57" i="5" a="1"/>
  <c r="Q57" i="5" a="1"/>
  <c r="G58" i="5" a="1"/>
  <c r="I58" i="5" a="1"/>
  <c r="K58" i="5" a="1"/>
  <c r="M58" i="5" a="1"/>
  <c r="O58" i="5" a="1"/>
  <c r="Q58" i="5" a="1"/>
  <c r="G59" i="5" a="1"/>
  <c r="I59" i="5" a="1"/>
  <c r="K59" i="5" a="1"/>
  <c r="M59" i="5" a="1"/>
  <c r="O59" i="5" a="1"/>
  <c r="Q59" i="5" a="1"/>
  <c r="G60" i="5" a="1"/>
  <c r="I60" i="5" a="1"/>
  <c r="K60" i="5" a="1"/>
  <c r="M60" i="5" a="1"/>
  <c r="O60" i="5" a="1"/>
  <c r="Q60" i="5" a="1"/>
  <c r="G61" i="5" a="1"/>
  <c r="I61" i="5" a="1"/>
  <c r="K61" i="5" a="1"/>
  <c r="M61" i="5" a="1"/>
  <c r="O61" i="5" a="1"/>
  <c r="Q61" i="5" a="1"/>
  <c r="G62" i="5" a="1"/>
  <c r="I62" i="5" a="1"/>
  <c r="K62" i="5" a="1"/>
  <c r="M62" i="5" a="1"/>
  <c r="O62" i="5" a="1"/>
  <c r="Q62" i="5" a="1"/>
  <c r="G63" i="5" a="1"/>
  <c r="I63" i="5" a="1"/>
  <c r="K63" i="5" a="1"/>
  <c r="M63" i="5" a="1"/>
  <c r="O63" i="5" a="1"/>
  <c r="Q63" i="5" a="1"/>
  <c r="G64" i="5" a="1"/>
  <c r="I64" i="5" a="1"/>
  <c r="K64" i="5" a="1"/>
  <c r="M64" i="5" a="1"/>
  <c r="O64" i="5" a="1"/>
  <c r="Q64" i="5" a="1"/>
  <c r="G65" i="5" a="1"/>
  <c r="I65" i="5" a="1"/>
  <c r="K65" i="5" a="1"/>
  <c r="M65" i="5" a="1"/>
  <c r="O65" i="5" a="1"/>
  <c r="Q65" i="5" a="1"/>
  <c r="G66" i="5" a="1"/>
  <c r="I66" i="5" a="1"/>
  <c r="K66" i="5" a="1"/>
  <c r="M66" i="5" a="1"/>
  <c r="O66" i="5" a="1"/>
  <c r="Q66" i="5" a="1"/>
  <c r="G67" i="5" a="1"/>
  <c r="I67" i="5" a="1"/>
  <c r="K67" i="5" a="1"/>
  <c r="M67" i="5" a="1"/>
  <c r="O67" i="5" a="1"/>
  <c r="Q67" i="5" a="1"/>
  <c r="G68" i="5" a="1"/>
  <c r="I68" i="5" a="1"/>
  <c r="K68" i="5" a="1"/>
  <c r="M68" i="5" a="1"/>
  <c r="O68" i="5" a="1"/>
  <c r="Q68" i="5" a="1"/>
  <c r="G69" i="5" a="1"/>
  <c r="I69" i="5" a="1"/>
  <c r="K69" i="5" a="1"/>
  <c r="M69" i="5" a="1"/>
  <c r="O69" i="5" a="1"/>
  <c r="Q69" i="5" a="1"/>
  <c r="G70" i="5" a="1"/>
  <c r="I70" i="5" a="1"/>
  <c r="K70" i="5" a="1"/>
  <c r="M70" i="5" a="1"/>
  <c r="O70" i="5" a="1"/>
  <c r="Q70" i="5" a="1"/>
  <c r="G71" i="5" a="1"/>
  <c r="I71" i="5" a="1"/>
  <c r="K71" i="5" a="1"/>
  <c r="M71" i="5" a="1"/>
  <c r="O71" i="5" a="1"/>
  <c r="Q71" i="5" a="1"/>
  <c r="G72" i="5" a="1"/>
  <c r="I72" i="5" a="1"/>
  <c r="K72" i="5" a="1"/>
  <c r="M72" i="5" a="1"/>
  <c r="O72" i="5" a="1"/>
  <c r="Q72" i="5" a="1"/>
  <c r="G73" i="5" a="1"/>
  <c r="I73" i="5" a="1"/>
  <c r="K73" i="5" a="1"/>
  <c r="M73" i="5" a="1"/>
  <c r="O73" i="5" a="1"/>
  <c r="Q73" i="5" a="1"/>
  <c r="G74" i="5" a="1"/>
  <c r="I74" i="5" a="1"/>
  <c r="K74" i="5" a="1"/>
  <c r="M74" i="5" a="1"/>
  <c r="O74" i="5" a="1"/>
  <c r="Q74" i="5" a="1"/>
  <c r="G75" i="5" a="1"/>
  <c r="I75" i="5" a="1"/>
  <c r="K75" i="5" a="1"/>
  <c r="M75" i="5" a="1"/>
  <c r="M10" i="5" a="1"/>
  <c r="M17" i="5" a="1"/>
  <c r="J20" i="5" a="1"/>
  <c r="R22" i="5" a="1"/>
  <c r="K36" i="5" a="1"/>
  <c r="P36" i="5" a="1"/>
  <c r="O37" i="5" a="1"/>
  <c r="H38" i="5" a="1"/>
  <c r="G39" i="5" a="1"/>
  <c r="L39" i="5" a="1"/>
  <c r="K40" i="5" a="1"/>
  <c r="P40" i="5" a="1"/>
  <c r="O41" i="5" a="1"/>
  <c r="H42" i="5" a="1"/>
  <c r="G43" i="5" a="1"/>
  <c r="L43" i="5" a="1"/>
  <c r="K44" i="5" a="1"/>
  <c r="P44" i="5" a="1"/>
  <c r="O45" i="5" a="1"/>
  <c r="H46" i="5" a="1"/>
  <c r="G47" i="5" a="1"/>
  <c r="J47" i="5" a="1"/>
  <c r="Q47" i="5" a="1"/>
  <c r="J48" i="5" a="1"/>
  <c r="M48" i="5" a="1"/>
  <c r="R48" i="5" a="1"/>
  <c r="I49" i="5" a="1"/>
  <c r="N49" i="5" a="1"/>
  <c r="Q49" i="5" a="1"/>
  <c r="J50" i="5" a="1"/>
  <c r="M50" i="5" a="1"/>
  <c r="L11" i="5" a="1"/>
  <c r="R17" i="5" a="1"/>
  <c r="N20" i="5" a="1"/>
  <c r="R35" i="5" a="1"/>
  <c r="Q36" i="5" a="1"/>
  <c r="J37" i="5" a="1"/>
  <c r="I38" i="5" a="1"/>
  <c r="N38" i="5" a="1"/>
  <c r="M39" i="5" a="1"/>
  <c r="R39" i="5" a="1"/>
  <c r="Q40" i="5" a="1"/>
  <c r="J41" i="5" a="1"/>
  <c r="I42" i="5" a="1"/>
  <c r="N42" i="5" a="1"/>
  <c r="M43" i="5" a="1"/>
  <c r="R43" i="5" a="1"/>
  <c r="Q44" i="5" a="1"/>
  <c r="J45" i="5" a="1"/>
  <c r="I46" i="5" a="1"/>
  <c r="N46" i="5" a="1"/>
  <c r="K47" i="5" a="1"/>
  <c r="O47" i="5" a="1"/>
  <c r="H48" i="5" a="1"/>
  <c r="K48" i="5" a="1"/>
  <c r="P48" i="5" a="1"/>
  <c r="G49" i="5" a="1"/>
  <c r="L49" i="5" a="1"/>
  <c r="O49" i="5" a="1"/>
  <c r="H50" i="5" a="1"/>
  <c r="K50" i="5" a="1"/>
  <c r="P50" i="5" a="1"/>
  <c r="R50" i="5" a="1"/>
  <c r="H51" i="5" a="1"/>
  <c r="J51" i="5" a="1"/>
  <c r="L51" i="5" a="1"/>
  <c r="N51" i="5" a="1"/>
  <c r="P51" i="5" a="1"/>
  <c r="R51" i="5" a="1"/>
  <c r="H52" i="5" a="1"/>
  <c r="J52" i="5" a="1"/>
  <c r="L52" i="5" a="1"/>
  <c r="N52" i="5" a="1"/>
  <c r="P52" i="5" a="1"/>
  <c r="R52" i="5" a="1"/>
  <c r="H53" i="5" a="1"/>
  <c r="J53" i="5" a="1"/>
  <c r="L53" i="5" a="1"/>
  <c r="N53" i="5" a="1"/>
  <c r="P53" i="5" a="1"/>
  <c r="R53" i="5" a="1"/>
  <c r="H54" i="5" a="1"/>
  <c r="J54" i="5" a="1"/>
  <c r="L54" i="5" a="1"/>
  <c r="N54" i="5" a="1"/>
  <c r="P54" i="5" a="1"/>
  <c r="R54" i="5" a="1"/>
  <c r="H55" i="5" a="1"/>
  <c r="J55" i="5" a="1"/>
  <c r="L55" i="5" a="1"/>
  <c r="N55" i="5" a="1"/>
  <c r="P55" i="5" a="1"/>
  <c r="R55" i="5" a="1"/>
  <c r="H56" i="5" a="1"/>
  <c r="J56" i="5" a="1"/>
  <c r="L56" i="5" a="1"/>
  <c r="N56" i="5" a="1"/>
  <c r="P56" i="5" a="1"/>
  <c r="R56" i="5" a="1"/>
  <c r="H57" i="5" a="1"/>
  <c r="J57" i="5" a="1"/>
  <c r="L57" i="5" a="1"/>
  <c r="N57" i="5" a="1"/>
  <c r="P57" i="5" a="1"/>
  <c r="R57" i="5" a="1"/>
  <c r="H58" i="5" a="1"/>
  <c r="J58" i="5" a="1"/>
  <c r="L58" i="5" a="1"/>
  <c r="N58" i="5" a="1"/>
  <c r="P58" i="5" a="1"/>
  <c r="R58" i="5" a="1"/>
  <c r="H59" i="5" a="1"/>
  <c r="J59" i="5" a="1"/>
  <c r="L59" i="5" a="1"/>
  <c r="N59" i="5" a="1"/>
  <c r="P59" i="5" a="1"/>
  <c r="R59" i="5" a="1"/>
  <c r="H60" i="5" a="1"/>
  <c r="J60" i="5" a="1"/>
  <c r="L60" i="5" a="1"/>
  <c r="N60" i="5" a="1"/>
  <c r="P60" i="5" a="1"/>
  <c r="R60" i="5" a="1"/>
  <c r="H61" i="5" a="1"/>
  <c r="J61" i="5" a="1"/>
  <c r="L61" i="5" a="1"/>
  <c r="N61" i="5" a="1"/>
  <c r="P61" i="5" a="1"/>
  <c r="R61" i="5" a="1"/>
  <c r="H62" i="5" a="1"/>
  <c r="J62" i="5" a="1"/>
  <c r="L62" i="5" a="1"/>
  <c r="N62" i="5" a="1"/>
  <c r="P62" i="5" a="1"/>
  <c r="R62" i="5" a="1"/>
  <c r="H63" i="5" a="1"/>
  <c r="J63" i="5" a="1"/>
  <c r="L63" i="5" a="1"/>
  <c r="N63" i="5" a="1"/>
  <c r="P63" i="5" a="1"/>
  <c r="R63" i="5" a="1"/>
  <c r="H64" i="5" a="1"/>
  <c r="J64" i="5" a="1"/>
  <c r="L64" i="5" a="1"/>
  <c r="N64" i="5" a="1"/>
  <c r="P64" i="5" a="1"/>
  <c r="R64" i="5" a="1"/>
  <c r="H65" i="5" a="1"/>
  <c r="J65" i="5" a="1"/>
  <c r="L65" i="5" a="1"/>
  <c r="N65" i="5" a="1"/>
  <c r="P65" i="5" a="1"/>
  <c r="R65" i="5" a="1"/>
  <c r="H66" i="5" a="1"/>
  <c r="J66" i="5" a="1"/>
  <c r="L66" i="5" a="1"/>
  <c r="N66" i="5" a="1"/>
  <c r="P66" i="5" a="1"/>
  <c r="R66" i="5" a="1"/>
  <c r="H67" i="5" a="1"/>
  <c r="J67" i="5" a="1"/>
  <c r="L67" i="5" a="1"/>
  <c r="N67" i="5" a="1"/>
  <c r="P67" i="5" a="1"/>
  <c r="R67" i="5" a="1"/>
  <c r="H68" i="5" a="1"/>
  <c r="J68" i="5" a="1"/>
  <c r="L68" i="5" a="1"/>
  <c r="N68" i="5" a="1"/>
  <c r="P68" i="5" a="1"/>
  <c r="R68" i="5" a="1"/>
  <c r="H69" i="5" a="1"/>
  <c r="J69" i="5" a="1"/>
  <c r="L69" i="5" a="1"/>
  <c r="N69" i="5" a="1"/>
  <c r="P69" i="5" a="1"/>
  <c r="R69" i="5" a="1"/>
  <c r="H70" i="5" a="1"/>
  <c r="J70" i="5" a="1"/>
  <c r="L70" i="5" a="1"/>
  <c r="N70" i="5" a="1"/>
  <c r="P70" i="5" a="1"/>
  <c r="R70" i="5" a="1"/>
  <c r="H71" i="5" a="1"/>
  <c r="J71" i="5" a="1"/>
  <c r="L71" i="5" a="1"/>
  <c r="N71" i="5" a="1"/>
  <c r="P71" i="5" a="1"/>
  <c r="H14" i="5" a="1"/>
  <c r="O35" i="5" a="1"/>
  <c r="L37" i="5" a="1"/>
  <c r="G41" i="5" a="1"/>
  <c r="P42" i="5" a="1"/>
  <c r="K46" i="5" a="1"/>
  <c r="N48" i="5" a="1"/>
  <c r="M49" i="5" a="1"/>
  <c r="P75" i="5" a="1"/>
  <c r="I76" i="5" a="1"/>
  <c r="L76" i="5" a="1"/>
  <c r="Q76" i="5" a="1"/>
  <c r="H77" i="5" a="1"/>
  <c r="M77" i="5" a="1"/>
  <c r="P77" i="5" a="1"/>
  <c r="I78" i="5" a="1"/>
  <c r="L78" i="5" a="1"/>
  <c r="Q78" i="5" a="1"/>
  <c r="H79" i="5" a="1"/>
  <c r="M79" i="5" a="1"/>
  <c r="P79" i="5" a="1"/>
  <c r="I80" i="5" a="1"/>
  <c r="L80" i="5" a="1"/>
  <c r="Q80" i="5" a="1"/>
  <c r="H81" i="5" a="1"/>
  <c r="M81" i="5" a="1"/>
  <c r="P81" i="5" a="1"/>
  <c r="I82" i="5" a="1"/>
  <c r="L82" i="5" a="1"/>
  <c r="Q82" i="5" a="1"/>
  <c r="H83" i="5" a="1"/>
  <c r="M83" i="5" a="1"/>
  <c r="P83" i="5" a="1"/>
  <c r="I84" i="5" a="1"/>
  <c r="L84" i="5" a="1"/>
  <c r="Q84" i="5" a="1"/>
  <c r="H85" i="5" a="1"/>
  <c r="M85" i="5" a="1"/>
  <c r="P85" i="5" a="1"/>
  <c r="I86" i="5" a="1"/>
  <c r="L86" i="5" a="1"/>
  <c r="Q86" i="5" a="1"/>
  <c r="H87" i="5" a="1"/>
  <c r="M87" i="5" a="1"/>
  <c r="P87" i="5" a="1"/>
  <c r="I88" i="5" a="1"/>
  <c r="L88" i="5" a="1"/>
  <c r="Q88" i="5" a="1"/>
  <c r="H89" i="5" a="1"/>
  <c r="M89" i="5" a="1"/>
  <c r="P89" i="5" a="1"/>
  <c r="I90" i="5" a="1"/>
  <c r="L90" i="5" a="1"/>
  <c r="Q90" i="5" a="1"/>
  <c r="H91" i="5" a="1"/>
  <c r="M91" i="5" a="1"/>
  <c r="P91" i="5" a="1"/>
  <c r="I92" i="5" a="1"/>
  <c r="L92" i="5" a="1"/>
  <c r="Q92" i="5" a="1"/>
  <c r="H93" i="5" a="1"/>
  <c r="M93" i="5" a="1"/>
  <c r="P93" i="5" a="1"/>
  <c r="I94" i="5" a="1"/>
  <c r="L94" i="5" a="1"/>
  <c r="Q94" i="5" a="1"/>
  <c r="H95" i="5" a="1"/>
  <c r="M95" i="5" a="1"/>
  <c r="P95" i="5" a="1"/>
  <c r="I96" i="5" a="1"/>
  <c r="L96" i="5" a="1"/>
  <c r="Q96" i="5" a="1"/>
  <c r="H97" i="5" a="1"/>
  <c r="M97" i="5" a="1"/>
  <c r="P97" i="5" a="1"/>
  <c r="I98" i="5" a="1"/>
  <c r="L98" i="5" a="1"/>
  <c r="Q98" i="5" a="1"/>
  <c r="H99" i="5" a="1"/>
  <c r="M99" i="5" a="1"/>
  <c r="P99" i="5" a="1"/>
  <c r="I100" i="5" a="1"/>
  <c r="K100" i="5" a="1"/>
  <c r="M100" i="5" a="1"/>
  <c r="O100" i="5" a="1"/>
  <c r="Q100" i="5" a="1"/>
  <c r="G101" i="5" a="1"/>
  <c r="I101" i="5" a="1"/>
  <c r="K101" i="5" a="1"/>
  <c r="M101" i="5" a="1"/>
  <c r="O101" i="5" a="1"/>
  <c r="Q101" i="5" a="1"/>
  <c r="G102" i="5" a="1"/>
  <c r="I102" i="5" a="1"/>
  <c r="K102" i="5" a="1"/>
  <c r="M102" i="5" a="1"/>
  <c r="O102" i="5" a="1"/>
  <c r="Q102" i="5" a="1"/>
  <c r="G103" i="5" a="1"/>
  <c r="I103" i="5" a="1"/>
  <c r="K103" i="5" a="1"/>
  <c r="M103" i="5" a="1"/>
  <c r="O103" i="5" a="1"/>
  <c r="Q103" i="5" a="1"/>
  <c r="G104" i="5" a="1"/>
  <c r="I104" i="5" a="1"/>
  <c r="K104" i="5" a="1"/>
  <c r="M104" i="5" a="1"/>
  <c r="O104" i="5" a="1"/>
  <c r="Q104" i="5" a="1"/>
  <c r="G105" i="5" a="1"/>
  <c r="I105" i="5" a="1"/>
  <c r="K105" i="5" a="1"/>
  <c r="M105" i="5" a="1"/>
  <c r="O105" i="5" a="1"/>
  <c r="Q105" i="5" a="1"/>
  <c r="G106" i="5" a="1"/>
  <c r="I106" i="5" a="1"/>
  <c r="K106" i="5" a="1"/>
  <c r="M106" i="5" a="1"/>
  <c r="O106" i="5" a="1"/>
  <c r="Q106" i="5" a="1"/>
  <c r="G107" i="5" a="1"/>
  <c r="I107" i="5" a="1"/>
  <c r="K107" i="5" a="1"/>
  <c r="M107" i="5" a="1"/>
  <c r="R18" i="5" a="1"/>
  <c r="H36" i="5" a="1"/>
  <c r="O39" i="5" a="1"/>
  <c r="L41" i="5" a="1"/>
  <c r="G45" i="5" a="1"/>
  <c r="P46" i="5" a="1"/>
  <c r="R47" i="5" a="1"/>
  <c r="Q48" i="5" a="1"/>
  <c r="N50" i="5" a="1"/>
  <c r="R71" i="5" a="1"/>
  <c r="J72" i="5" a="1"/>
  <c r="N72" i="5" a="1"/>
  <c r="R72" i="5" a="1"/>
  <c r="J73" i="5" a="1"/>
  <c r="N73" i="5" a="1"/>
  <c r="R73" i="5" a="1"/>
  <c r="J74" i="5" a="1"/>
  <c r="N74" i="5" a="1"/>
  <c r="R74" i="5" a="1"/>
  <c r="J75" i="5" a="1"/>
  <c r="N75" i="5" a="1"/>
  <c r="G76" i="5" a="1"/>
  <c r="J76" i="5" a="1"/>
  <c r="O76" i="5" a="1"/>
  <c r="R76" i="5" a="1"/>
  <c r="K77" i="5" a="1"/>
  <c r="N77" i="5" a="1"/>
  <c r="G78" i="5" a="1"/>
  <c r="J78" i="5" a="1"/>
  <c r="O78" i="5" a="1"/>
  <c r="R78" i="5" a="1"/>
  <c r="K79" i="5" a="1"/>
  <c r="N79" i="5" a="1"/>
  <c r="G80" i="5" a="1"/>
  <c r="J80" i="5" a="1"/>
  <c r="O80" i="5" a="1"/>
  <c r="R80" i="5" a="1"/>
  <c r="K81" i="5" a="1"/>
  <c r="N81" i="5" a="1"/>
  <c r="G82" i="5" a="1"/>
  <c r="J82" i="5" a="1"/>
  <c r="O82" i="5" a="1"/>
  <c r="R82" i="5" a="1"/>
  <c r="K83" i="5" a="1"/>
  <c r="N83" i="5" a="1"/>
  <c r="G84" i="5" a="1"/>
  <c r="J84" i="5" a="1"/>
  <c r="O84" i="5" a="1"/>
  <c r="R84" i="5" a="1"/>
  <c r="K85" i="5" a="1"/>
  <c r="N85" i="5" a="1"/>
  <c r="G86" i="5" a="1"/>
  <c r="J86" i="5" a="1"/>
  <c r="O86" i="5" a="1"/>
  <c r="R86" i="5" a="1"/>
  <c r="K87" i="5" a="1"/>
  <c r="N87" i="5" a="1"/>
  <c r="G88" i="5" a="1"/>
  <c r="J88" i="5" a="1"/>
  <c r="O88" i="5" a="1"/>
  <c r="R88" i="5" a="1"/>
  <c r="K89" i="5" a="1"/>
  <c r="N89" i="5" a="1"/>
  <c r="G90" i="5" a="1"/>
  <c r="J90" i="5" a="1"/>
  <c r="O90" i="5" a="1"/>
  <c r="R90" i="5" a="1"/>
  <c r="K91" i="5" a="1"/>
  <c r="N91" i="5" a="1"/>
  <c r="G92" i="5" a="1"/>
  <c r="J92" i="5" a="1"/>
  <c r="O92" i="5" a="1"/>
  <c r="R92" i="5" a="1"/>
  <c r="K93" i="5" a="1"/>
  <c r="N93" i="5" a="1"/>
  <c r="G94" i="5" a="1"/>
  <c r="J94" i="5" a="1"/>
  <c r="O94" i="5" a="1"/>
  <c r="R94" i="5" a="1"/>
  <c r="K95" i="5" a="1"/>
  <c r="N95" i="5" a="1"/>
  <c r="G96" i="5" a="1"/>
  <c r="J96" i="5" a="1"/>
  <c r="O96" i="5" a="1"/>
  <c r="R96" i="5" a="1"/>
  <c r="K97" i="5" a="1"/>
  <c r="N97" i="5" a="1"/>
  <c r="G98" i="5" a="1"/>
  <c r="J98" i="5" a="1"/>
  <c r="O98" i="5" a="1"/>
  <c r="R98" i="5" a="1"/>
  <c r="K99" i="5" a="1"/>
  <c r="N99" i="5" a="1"/>
  <c r="G100" i="5" a="1"/>
  <c r="N21" i="5" a="1"/>
  <c r="K38" i="5" a="1"/>
  <c r="H40" i="5" a="1"/>
  <c r="O43" i="5" a="1"/>
  <c r="L45" i="5" a="1"/>
  <c r="H47" i="5" a="1"/>
  <c r="I48" i="5" a="1"/>
  <c r="R49" i="5" a="1"/>
  <c r="Q75" i="5" a="1"/>
  <c r="H76" i="5" a="1"/>
  <c r="M76" i="5" a="1"/>
  <c r="P76" i="5" a="1"/>
  <c r="I77" i="5" a="1"/>
  <c r="L77" i="5" a="1"/>
  <c r="Q77" i="5" a="1"/>
  <c r="H78" i="5" a="1"/>
  <c r="M78" i="5" a="1"/>
  <c r="P78" i="5" a="1"/>
  <c r="I79" i="5" a="1"/>
  <c r="L79" i="5" a="1"/>
  <c r="Q79" i="5" a="1"/>
  <c r="H80" i="5" a="1"/>
  <c r="M80" i="5" a="1"/>
  <c r="P80" i="5" a="1"/>
  <c r="I81" i="5" a="1"/>
  <c r="L81" i="5" a="1"/>
  <c r="Q81" i="5" a="1"/>
  <c r="H82" i="5" a="1"/>
  <c r="M82" i="5" a="1"/>
  <c r="P82" i="5" a="1"/>
  <c r="I83" i="5" a="1"/>
  <c r="L83" i="5" a="1"/>
  <c r="Q83" i="5" a="1"/>
  <c r="H84" i="5" a="1"/>
  <c r="M84" i="5" a="1"/>
  <c r="P84" i="5" a="1"/>
  <c r="I85" i="5" a="1"/>
  <c r="L85" i="5" a="1"/>
  <c r="Q85" i="5" a="1"/>
  <c r="H86" i="5" a="1"/>
  <c r="M86" i="5" a="1"/>
  <c r="P86" i="5" a="1"/>
  <c r="I87" i="5" a="1"/>
  <c r="L87" i="5" a="1"/>
  <c r="Q87" i="5" a="1"/>
  <c r="H88" i="5" a="1"/>
  <c r="M88" i="5" a="1"/>
  <c r="P88" i="5" a="1"/>
  <c r="I89" i="5" a="1"/>
  <c r="L89" i="5" a="1"/>
  <c r="Q89" i="5" a="1"/>
  <c r="H90" i="5" a="1"/>
  <c r="M90" i="5" a="1"/>
  <c r="P90" i="5" a="1"/>
  <c r="I91" i="5" a="1"/>
  <c r="L91" i="5" a="1"/>
  <c r="Q91" i="5" a="1"/>
  <c r="H92" i="5" a="1"/>
  <c r="M92" i="5" a="1"/>
  <c r="P92" i="5" a="1"/>
  <c r="I93" i="5" a="1"/>
  <c r="L93" i="5" a="1"/>
  <c r="Q93" i="5" a="1"/>
  <c r="H94" i="5" a="1"/>
  <c r="M94" i="5" a="1"/>
  <c r="P94" i="5" a="1"/>
  <c r="I95" i="5" a="1"/>
  <c r="L95" i="5" a="1"/>
  <c r="Q95" i="5" a="1"/>
  <c r="H96" i="5" a="1"/>
  <c r="M96" i="5" a="1"/>
  <c r="P96" i="5" a="1"/>
  <c r="I97" i="5" a="1"/>
  <c r="L97" i="5" a="1"/>
  <c r="Q97" i="5" a="1"/>
  <c r="H98" i="5" a="1"/>
  <c r="M98" i="5" a="1"/>
  <c r="P98" i="5" a="1"/>
  <c r="I99" i="5" a="1"/>
  <c r="L99" i="5" a="1"/>
  <c r="Q99" i="5" a="1"/>
  <c r="H100" i="5" a="1"/>
  <c r="J100" i="5" a="1"/>
  <c r="L100" i="5" a="1"/>
  <c r="N100" i="5" a="1"/>
  <c r="P100" i="5" a="1"/>
  <c r="R100" i="5" a="1"/>
  <c r="H101" i="5" a="1"/>
  <c r="J101" i="5" a="1"/>
  <c r="L101" i="5" a="1"/>
  <c r="N101" i="5" a="1"/>
  <c r="P101" i="5" a="1"/>
  <c r="R101" i="5" a="1"/>
  <c r="H102" i="5" a="1"/>
  <c r="J102" i="5" a="1"/>
  <c r="L102" i="5" a="1"/>
  <c r="N102" i="5" a="1"/>
  <c r="P102" i="5" a="1"/>
  <c r="R102" i="5" a="1"/>
  <c r="H103" i="5" a="1"/>
  <c r="J103" i="5" a="1"/>
  <c r="L103" i="5" a="1"/>
  <c r="N103" i="5" a="1"/>
  <c r="P103" i="5" a="1"/>
  <c r="R103" i="5" a="1"/>
  <c r="H104" i="5" a="1"/>
  <c r="J104" i="5" a="1"/>
  <c r="L104" i="5" a="1"/>
  <c r="N104" i="5" a="1"/>
  <c r="P104" i="5" a="1"/>
  <c r="R104" i="5" a="1"/>
  <c r="H105" i="5" a="1"/>
  <c r="J105" i="5" a="1"/>
  <c r="L105" i="5" a="1"/>
  <c r="N105" i="5" a="1"/>
  <c r="P105" i="5" a="1"/>
  <c r="R105" i="5" a="1"/>
  <c r="H106" i="5" a="1"/>
  <c r="J106" i="5" a="1"/>
  <c r="L106" i="5" a="1"/>
  <c r="N106" i="5" a="1"/>
  <c r="P106" i="5" a="1"/>
  <c r="R106" i="5" a="1"/>
  <c r="H107" i="5" a="1"/>
  <c r="J107" i="5" a="1"/>
  <c r="L107" i="5" a="1"/>
  <c r="N107" i="5" a="1"/>
  <c r="P107" i="5" a="1"/>
  <c r="P38" i="5" a="1"/>
  <c r="I50" i="5" a="1"/>
  <c r="H73" i="5" a="1"/>
  <c r="L74" i="5" a="1"/>
  <c r="O75" i="5" a="1"/>
  <c r="N76" i="5" a="1"/>
  <c r="K78" i="5" a="1"/>
  <c r="J79" i="5" a="1"/>
  <c r="G81" i="5" a="1"/>
  <c r="R81" i="5" a="1"/>
  <c r="O83" i="5" a="1"/>
  <c r="N84" i="5" a="1"/>
  <c r="K86" i="5" a="1"/>
  <c r="J87" i="5" a="1"/>
  <c r="G89" i="5" a="1"/>
  <c r="R89" i="5" a="1"/>
  <c r="O91" i="5" a="1"/>
  <c r="N92" i="5" a="1"/>
  <c r="K94" i="5" a="1"/>
  <c r="J95" i="5" a="1"/>
  <c r="G97" i="5" a="1"/>
  <c r="R97" i="5" a="1"/>
  <c r="O99" i="5" a="1"/>
  <c r="O107" i="5" a="1"/>
  <c r="I108" i="5" a="1"/>
  <c r="L108" i="5" a="1"/>
  <c r="Q108" i="5" a="1"/>
  <c r="H109" i="5" a="1"/>
  <c r="M109" i="5" a="1"/>
  <c r="P109" i="5" a="1"/>
  <c r="I110" i="5" a="1"/>
  <c r="L110" i="5" a="1"/>
  <c r="Q110" i="5" a="1"/>
  <c r="H111" i="5" a="1"/>
  <c r="M111" i="5" a="1"/>
  <c r="P111" i="5" a="1"/>
  <c r="I112" i="5" a="1"/>
  <c r="L112" i="5" a="1"/>
  <c r="Q112" i="5" a="1"/>
  <c r="H113" i="5" a="1"/>
  <c r="M113" i="5" a="1"/>
  <c r="P113" i="5" a="1"/>
  <c r="I114" i="5" a="1"/>
  <c r="L114" i="5" a="1"/>
  <c r="Q114" i="5" a="1"/>
  <c r="H115" i="5" a="1"/>
  <c r="M115" i="5" a="1"/>
  <c r="P115" i="5" a="1"/>
  <c r="I116" i="5" a="1"/>
  <c r="L116" i="5" a="1"/>
  <c r="Q116" i="5" a="1"/>
  <c r="H117" i="5" a="1"/>
  <c r="M117" i="5" a="1"/>
  <c r="P117" i="5" a="1"/>
  <c r="I118" i="5" a="1"/>
  <c r="L118" i="5" a="1"/>
  <c r="M146" i="5" a="1"/>
  <c r="Q148" i="5" a="1"/>
  <c r="I149" i="5" a="1"/>
  <c r="M149" i="5" a="1"/>
  <c r="Q149" i="5" a="1"/>
  <c r="I150" i="5" a="1"/>
  <c r="M150" i="5" a="1"/>
  <c r="Q150" i="5" a="1"/>
  <c r="I151" i="5" a="1"/>
  <c r="M151" i="5" a="1"/>
  <c r="Q151" i="5" a="1"/>
  <c r="G152" i="5" a="1"/>
  <c r="K152" i="5" a="1"/>
  <c r="O152" i="5" a="1"/>
  <c r="G153" i="5" a="1"/>
  <c r="K153" i="5" a="1"/>
  <c r="O153" i="5" a="1"/>
  <c r="G154" i="5" a="1"/>
  <c r="K154" i="5" a="1"/>
  <c r="O154" i="5" a="1"/>
  <c r="G155" i="5" a="1"/>
  <c r="K155" i="5" a="1"/>
  <c r="M155" i="5" a="1"/>
  <c r="Q155" i="5" a="1"/>
  <c r="K42" i="5" a="1"/>
  <c r="R85" i="5" a="1"/>
  <c r="J91" i="5" a="1"/>
  <c r="G93" i="5" a="1"/>
  <c r="N96" i="5" a="1"/>
  <c r="J99" i="5" a="1"/>
  <c r="H108" i="5" a="1"/>
  <c r="M108" i="5" a="1"/>
  <c r="L109" i="5" a="1"/>
  <c r="Q109" i="5" a="1"/>
  <c r="M110" i="5" a="1"/>
  <c r="L47" i="5" a="1"/>
  <c r="H72" i="5" a="1"/>
  <c r="L73" i="5" a="1"/>
  <c r="P74" i="5" a="1"/>
  <c r="R75" i="5" a="1"/>
  <c r="O77" i="5" a="1"/>
  <c r="N78" i="5" a="1"/>
  <c r="K80" i="5" a="1"/>
  <c r="J81" i="5" a="1"/>
  <c r="G83" i="5" a="1"/>
  <c r="R83" i="5" a="1"/>
  <c r="O85" i="5" a="1"/>
  <c r="N86" i="5" a="1"/>
  <c r="K88" i="5" a="1"/>
  <c r="J89" i="5" a="1"/>
  <c r="G91" i="5" a="1"/>
  <c r="R91" i="5" a="1"/>
  <c r="O93" i="5" a="1"/>
  <c r="N94" i="5" a="1"/>
  <c r="K96" i="5" a="1"/>
  <c r="J97" i="5" a="1"/>
  <c r="G99" i="5" a="1"/>
  <c r="R99" i="5" a="1"/>
  <c r="G108" i="5" a="1"/>
  <c r="J108" i="5" a="1"/>
  <c r="O108" i="5" a="1"/>
  <c r="R108" i="5" a="1"/>
  <c r="K109" i="5" a="1"/>
  <c r="N109" i="5" a="1"/>
  <c r="G110" i="5" a="1"/>
  <c r="J110" i="5" a="1"/>
  <c r="O110" i="5" a="1"/>
  <c r="R110" i="5" a="1"/>
  <c r="K111" i="5" a="1"/>
  <c r="N111" i="5" a="1"/>
  <c r="G112" i="5" a="1"/>
  <c r="J112" i="5" a="1"/>
  <c r="O112" i="5" a="1"/>
  <c r="R112" i="5" a="1"/>
  <c r="K113" i="5" a="1"/>
  <c r="N113" i="5" a="1"/>
  <c r="G114" i="5" a="1"/>
  <c r="J114" i="5" a="1"/>
  <c r="O114" i="5" a="1"/>
  <c r="R114" i="5" a="1"/>
  <c r="K115" i="5" a="1"/>
  <c r="N115" i="5" a="1"/>
  <c r="G116" i="5" a="1"/>
  <c r="J116" i="5" a="1"/>
  <c r="O116" i="5" a="1"/>
  <c r="R116" i="5" a="1"/>
  <c r="K117" i="5" a="1"/>
  <c r="N117" i="5" a="1"/>
  <c r="G118" i="5" a="1"/>
  <c r="J118" i="5" a="1"/>
  <c r="O118" i="5" a="1"/>
  <c r="Q118" i="5" a="1"/>
  <c r="G119" i="5" a="1"/>
  <c r="I119" i="5" a="1"/>
  <c r="K119" i="5" a="1"/>
  <c r="M119" i="5" a="1"/>
  <c r="O119" i="5" a="1"/>
  <c r="Q119" i="5" a="1"/>
  <c r="G120" i="5" a="1"/>
  <c r="I120" i="5" a="1"/>
  <c r="K120" i="5" a="1"/>
  <c r="M120" i="5" a="1"/>
  <c r="O120" i="5" a="1"/>
  <c r="Q120" i="5" a="1"/>
  <c r="G121" i="5" a="1"/>
  <c r="I121" i="5" a="1"/>
  <c r="K121" i="5" a="1"/>
  <c r="M121" i="5" a="1"/>
  <c r="O121" i="5" a="1"/>
  <c r="Q121" i="5" a="1"/>
  <c r="G122" i="5" a="1"/>
  <c r="I122" i="5" a="1"/>
  <c r="K122" i="5" a="1"/>
  <c r="M122" i="5" a="1"/>
  <c r="O122" i="5" a="1"/>
  <c r="Q122" i="5" a="1"/>
  <c r="G123" i="5" a="1"/>
  <c r="I123" i="5" a="1"/>
  <c r="K123" i="5" a="1"/>
  <c r="M123" i="5" a="1"/>
  <c r="O123" i="5" a="1"/>
  <c r="Q123" i="5" a="1"/>
  <c r="G124" i="5" a="1"/>
  <c r="I124" i="5" a="1"/>
  <c r="K124" i="5" a="1"/>
  <c r="M124" i="5" a="1"/>
  <c r="O124" i="5" a="1"/>
  <c r="Q124" i="5" a="1"/>
  <c r="G125" i="5" a="1"/>
  <c r="I125" i="5" a="1"/>
  <c r="K125" i="5" a="1"/>
  <c r="M125" i="5" a="1"/>
  <c r="O125" i="5" a="1"/>
  <c r="Q125" i="5" a="1"/>
  <c r="G126" i="5" a="1"/>
  <c r="I126" i="5" a="1"/>
  <c r="K126" i="5" a="1"/>
  <c r="M126" i="5" a="1"/>
  <c r="O126" i="5" a="1"/>
  <c r="Q126" i="5" a="1"/>
  <c r="G127" i="5" a="1"/>
  <c r="I127" i="5" a="1"/>
  <c r="K127" i="5" a="1"/>
  <c r="M127" i="5" a="1"/>
  <c r="O127" i="5" a="1"/>
  <c r="Q127" i="5" a="1"/>
  <c r="G128" i="5" a="1"/>
  <c r="I128" i="5" a="1"/>
  <c r="K128" i="5" a="1"/>
  <c r="M128" i="5" a="1"/>
  <c r="O128" i="5" a="1"/>
  <c r="Q128" i="5" a="1"/>
  <c r="G129" i="5" a="1"/>
  <c r="I129" i="5" a="1"/>
  <c r="K129" i="5" a="1"/>
  <c r="M129" i="5" a="1"/>
  <c r="O129" i="5" a="1"/>
  <c r="Q129" i="5" a="1"/>
  <c r="G130" i="5" a="1"/>
  <c r="I130" i="5" a="1"/>
  <c r="K130" i="5" a="1"/>
  <c r="M130" i="5" a="1"/>
  <c r="O130" i="5" a="1"/>
  <c r="Q130" i="5" a="1"/>
  <c r="G131" i="5" a="1"/>
  <c r="I131" i="5" a="1"/>
  <c r="K131" i="5" a="1"/>
  <c r="M131" i="5" a="1"/>
  <c r="O131" i="5" a="1"/>
  <c r="Q131" i="5" a="1"/>
  <c r="G132" i="5" a="1"/>
  <c r="I132" i="5" a="1"/>
  <c r="K132" i="5" a="1"/>
  <c r="M132" i="5" a="1"/>
  <c r="O132" i="5" a="1"/>
  <c r="Q132" i="5" a="1"/>
  <c r="G133" i="5" a="1"/>
  <c r="I133" i="5" a="1"/>
  <c r="K133" i="5" a="1"/>
  <c r="M133" i="5" a="1"/>
  <c r="O133" i="5" a="1"/>
  <c r="Q133" i="5" a="1"/>
  <c r="G134" i="5" a="1"/>
  <c r="I134" i="5" a="1"/>
  <c r="K134" i="5" a="1"/>
  <c r="M134" i="5" a="1"/>
  <c r="O134" i="5" a="1"/>
  <c r="Q134" i="5" a="1"/>
  <c r="G135" i="5" a="1"/>
  <c r="I135" i="5" a="1"/>
  <c r="K135" i="5" a="1"/>
  <c r="M135" i="5" a="1"/>
  <c r="O135" i="5" a="1"/>
  <c r="Q135" i="5" a="1"/>
  <c r="G136" i="5" a="1"/>
  <c r="I136" i="5" a="1"/>
  <c r="K136" i="5" a="1"/>
  <c r="M136" i="5" a="1"/>
  <c r="O136" i="5" a="1"/>
  <c r="Q136" i="5" a="1"/>
  <c r="G137" i="5" a="1"/>
  <c r="I137" i="5" a="1"/>
  <c r="K137" i="5" a="1"/>
  <c r="M137" i="5" a="1"/>
  <c r="O137" i="5" a="1"/>
  <c r="Q137" i="5" a="1"/>
  <c r="G138" i="5" a="1"/>
  <c r="I138" i="5" a="1"/>
  <c r="K138" i="5" a="1"/>
  <c r="M138" i="5" a="1"/>
  <c r="O138" i="5" a="1"/>
  <c r="Q138" i="5" a="1"/>
  <c r="G139" i="5" a="1"/>
  <c r="I139" i="5" a="1"/>
  <c r="K139" i="5" a="1"/>
  <c r="M139" i="5" a="1"/>
  <c r="O139" i="5" a="1"/>
  <c r="Q139" i="5" a="1"/>
  <c r="G140" i="5" a="1"/>
  <c r="I140" i="5" a="1"/>
  <c r="K140" i="5" a="1"/>
  <c r="M140" i="5" a="1"/>
  <c r="O140" i="5" a="1"/>
  <c r="Q140" i="5" a="1"/>
  <c r="G141" i="5" a="1"/>
  <c r="I141" i="5" a="1"/>
  <c r="K141" i="5" a="1"/>
  <c r="M141" i="5" a="1"/>
  <c r="O141" i="5" a="1"/>
  <c r="Q141" i="5" a="1"/>
  <c r="G142" i="5" a="1"/>
  <c r="I142" i="5" a="1"/>
  <c r="K142" i="5" a="1"/>
  <c r="M142" i="5" a="1"/>
  <c r="O142" i="5" a="1"/>
  <c r="Q142" i="5" a="1"/>
  <c r="G143" i="5" a="1"/>
  <c r="I143" i="5" a="1"/>
  <c r="K143" i="5" a="1"/>
  <c r="M143" i="5" a="1"/>
  <c r="O143" i="5" a="1"/>
  <c r="Q143" i="5" a="1"/>
  <c r="G144" i="5" a="1"/>
  <c r="I144" i="5" a="1"/>
  <c r="K144" i="5" a="1"/>
  <c r="M144" i="5" a="1"/>
  <c r="O144" i="5" a="1"/>
  <c r="Q144" i="5" a="1"/>
  <c r="G145" i="5" a="1"/>
  <c r="I145" i="5" a="1"/>
  <c r="K145" i="5" a="1"/>
  <c r="M145" i="5" a="1"/>
  <c r="O145" i="5" a="1"/>
  <c r="Q145" i="5" a="1"/>
  <c r="G146" i="5" a="1"/>
  <c r="I146" i="5" a="1"/>
  <c r="K146" i="5" a="1"/>
  <c r="O146" i="5" a="1"/>
  <c r="Q146" i="5" a="1"/>
  <c r="G147" i="5" a="1"/>
  <c r="I147" i="5" a="1"/>
  <c r="K147" i="5" a="1"/>
  <c r="M147" i="5" a="1"/>
  <c r="O147" i="5" a="1"/>
  <c r="Q147" i="5" a="1"/>
  <c r="G148" i="5" a="1"/>
  <c r="I148" i="5" a="1"/>
  <c r="K148" i="5" a="1"/>
  <c r="M148" i="5" a="1"/>
  <c r="O148" i="5" a="1"/>
  <c r="G149" i="5" a="1"/>
  <c r="K149" i="5" a="1"/>
  <c r="O149" i="5" a="1"/>
  <c r="G150" i="5" a="1"/>
  <c r="K150" i="5" a="1"/>
  <c r="O150" i="5" a="1"/>
  <c r="G151" i="5" a="1"/>
  <c r="K151" i="5" a="1"/>
  <c r="O151" i="5" a="1"/>
  <c r="I152" i="5" a="1"/>
  <c r="M152" i="5" a="1"/>
  <c r="Q152" i="5" a="1"/>
  <c r="I153" i="5" a="1"/>
  <c r="M153" i="5" a="1"/>
  <c r="Q153" i="5" a="1"/>
  <c r="I154" i="5" a="1"/>
  <c r="M154" i="5" a="1"/>
  <c r="Q154" i="5" a="1"/>
  <c r="I155" i="5" a="1"/>
  <c r="O155" i="5" a="1"/>
  <c r="L72" i="5" a="1"/>
  <c r="P73" i="5" a="1"/>
  <c r="H75" i="5" a="1"/>
  <c r="G77" i="5" a="1"/>
  <c r="R77" i="5" a="1"/>
  <c r="O79" i="5" a="1"/>
  <c r="N80" i="5" a="1"/>
  <c r="K82" i="5" a="1"/>
  <c r="J83" i="5" a="1"/>
  <c r="G85" i="5" a="1"/>
  <c r="O87" i="5" a="1"/>
  <c r="N88" i="5" a="1"/>
  <c r="K90" i="5" a="1"/>
  <c r="R93" i="5" a="1"/>
  <c r="O95" i="5" a="1"/>
  <c r="K98" i="5" a="1"/>
  <c r="Q107" i="5" a="1"/>
  <c r="P108" i="5" a="1"/>
  <c r="I109" i="5" a="1"/>
  <c r="H110" i="5" a="1"/>
  <c r="P110" i="5" a="1"/>
  <c r="G37" i="5" a="1"/>
  <c r="H74" i="5" a="1"/>
  <c r="O81" i="5" a="1"/>
  <c r="J85" i="5" a="1"/>
  <c r="K92" i="5" a="1"/>
  <c r="R95" i="5" a="1"/>
  <c r="N108" i="5" a="1"/>
  <c r="K110" i="5" a="1"/>
  <c r="G111" i="5" a="1"/>
  <c r="R111" i="5" a="1"/>
  <c r="K112" i="5" a="1"/>
  <c r="J113" i="5" a="1"/>
  <c r="O113" i="5" a="1"/>
  <c r="N114" i="5" a="1"/>
  <c r="G115" i="5" a="1"/>
  <c r="R115" i="5" a="1"/>
  <c r="K116" i="5" a="1"/>
  <c r="J117" i="5" a="1"/>
  <c r="O117" i="5" a="1"/>
  <c r="N118" i="5" a="1"/>
  <c r="R118" i="5" a="1"/>
  <c r="J119" i="5" a="1"/>
  <c r="N119" i="5" a="1"/>
  <c r="R119" i="5" a="1"/>
  <c r="J120" i="5" a="1"/>
  <c r="N120" i="5" a="1"/>
  <c r="R120" i="5" a="1"/>
  <c r="J121" i="5" a="1"/>
  <c r="N121" i="5" a="1"/>
  <c r="R121" i="5" a="1"/>
  <c r="J122" i="5" a="1"/>
  <c r="N122" i="5" a="1"/>
  <c r="R122" i="5" a="1"/>
  <c r="J123" i="5" a="1"/>
  <c r="N123" i="5" a="1"/>
  <c r="R123" i="5" a="1"/>
  <c r="J124" i="5" a="1"/>
  <c r="N124" i="5" a="1"/>
  <c r="R124" i="5" a="1"/>
  <c r="J125" i="5" a="1"/>
  <c r="N125" i="5" a="1"/>
  <c r="R125" i="5" a="1"/>
  <c r="J126" i="5" a="1"/>
  <c r="N126" i="5" a="1"/>
  <c r="R126" i="5" a="1"/>
  <c r="J127" i="5" a="1"/>
  <c r="N127" i="5" a="1"/>
  <c r="R127" i="5" a="1"/>
  <c r="J128" i="5" a="1"/>
  <c r="N128" i="5" a="1"/>
  <c r="R128" i="5" a="1"/>
  <c r="J129" i="5" a="1"/>
  <c r="N129" i="5" a="1"/>
  <c r="R129" i="5" a="1"/>
  <c r="J130" i="5" a="1"/>
  <c r="N130" i="5" a="1"/>
  <c r="R130" i="5" a="1"/>
  <c r="J131" i="5" a="1"/>
  <c r="N131" i="5" a="1"/>
  <c r="R131" i="5" a="1"/>
  <c r="J132" i="5" a="1"/>
  <c r="N132" i="5" a="1"/>
  <c r="R132" i="5" a="1"/>
  <c r="J133" i="5" a="1"/>
  <c r="N133" i="5" a="1"/>
  <c r="R133" i="5" a="1"/>
  <c r="J134" i="5" a="1"/>
  <c r="N134" i="5" a="1"/>
  <c r="R134" i="5" a="1"/>
  <c r="J135" i="5" a="1"/>
  <c r="N135" i="5" a="1"/>
  <c r="R135" i="5" a="1"/>
  <c r="J136" i="5" a="1"/>
  <c r="N136" i="5" a="1"/>
  <c r="R136" i="5" a="1"/>
  <c r="J137" i="5" a="1"/>
  <c r="N137" i="5" a="1"/>
  <c r="R137" i="5" a="1"/>
  <c r="J138" i="5" a="1"/>
  <c r="N138" i="5" a="1"/>
  <c r="R138" i="5" a="1"/>
  <c r="J139" i="5" a="1"/>
  <c r="N139" i="5" a="1"/>
  <c r="R139" i="5" a="1"/>
  <c r="J140" i="5" a="1"/>
  <c r="N140" i="5" a="1"/>
  <c r="R140" i="5" a="1"/>
  <c r="J141" i="5" a="1"/>
  <c r="N141" i="5" a="1"/>
  <c r="R141" i="5" a="1"/>
  <c r="J142" i="5" a="1"/>
  <c r="N142" i="5" a="1"/>
  <c r="R142" i="5" a="1"/>
  <c r="J143" i="5" a="1"/>
  <c r="N143" i="5" a="1"/>
  <c r="R143" i="5" a="1"/>
  <c r="J144" i="5" a="1"/>
  <c r="N144" i="5" a="1"/>
  <c r="R144" i="5" a="1"/>
  <c r="J145" i="5" a="1"/>
  <c r="N145" i="5" a="1"/>
  <c r="R145" i="5" a="1"/>
  <c r="J146" i="5" a="1"/>
  <c r="N146" i="5" a="1"/>
  <c r="R146" i="5" a="1"/>
  <c r="J147" i="5" a="1"/>
  <c r="N147" i="5" a="1"/>
  <c r="R147" i="5" a="1"/>
  <c r="J148" i="5" a="1"/>
  <c r="N148" i="5" a="1"/>
  <c r="R148" i="5" a="1"/>
  <c r="J149" i="5" a="1"/>
  <c r="N149" i="5" a="1"/>
  <c r="R149" i="5" a="1"/>
  <c r="J150" i="5" a="1"/>
  <c r="N150" i="5" a="1"/>
  <c r="R150" i="5" a="1"/>
  <c r="J151" i="5" a="1"/>
  <c r="N151" i="5" a="1"/>
  <c r="R151" i="5" a="1"/>
  <c r="J152" i="5" a="1"/>
  <c r="N152" i="5" a="1"/>
  <c r="R152" i="5" a="1"/>
  <c r="J153" i="5" a="1"/>
  <c r="N153" i="5" a="1"/>
  <c r="R153" i="5" a="1"/>
  <c r="J154" i="5" a="1"/>
  <c r="N154" i="5" a="1"/>
  <c r="R154" i="5" a="1"/>
  <c r="J155" i="5" a="1"/>
  <c r="N155" i="5" a="1"/>
  <c r="R155" i="5" a="1"/>
  <c r="H145" i="5" a="1"/>
  <c r="H146" i="5" a="1"/>
  <c r="P146" i="5" a="1"/>
  <c r="L147" i="5" a="1"/>
  <c r="H148" i="5" a="1"/>
  <c r="P148" i="5" a="1"/>
  <c r="H149" i="5" a="1"/>
  <c r="P149" i="5" a="1"/>
  <c r="L150" i="5" a="1"/>
  <c r="P150" i="5" a="1"/>
  <c r="L151" i="5" a="1"/>
  <c r="H152" i="5" a="1"/>
  <c r="P152" i="5" a="1"/>
  <c r="L153" i="5" a="1"/>
  <c r="H154" i="5" a="1"/>
  <c r="P154" i="5" a="1"/>
  <c r="H155" i="5" a="1"/>
  <c r="P155" i="5" a="1"/>
  <c r="Q111" i="5" a="1"/>
  <c r="P112" i="5" a="1"/>
  <c r="H114" i="5" a="1"/>
  <c r="L115" i="5" a="1"/>
  <c r="P116" i="5" a="1"/>
  <c r="M118" i="5" a="1"/>
  <c r="H44" i="5" a="1"/>
  <c r="L75" i="5" a="1"/>
  <c r="G79" i="5" a="1"/>
  <c r="N82" i="5" a="1"/>
  <c r="O89" i="5" a="1"/>
  <c r="J93" i="5" a="1"/>
  <c r="R107" i="5" a="1"/>
  <c r="O109" i="5" a="1"/>
  <c r="N110" i="5" a="1"/>
  <c r="I111" i="5" a="1"/>
  <c r="H112" i="5" a="1"/>
  <c r="M112" i="5" a="1"/>
  <c r="L113" i="5" a="1"/>
  <c r="Q113" i="5" a="1"/>
  <c r="P114" i="5" a="1"/>
  <c r="I115" i="5" a="1"/>
  <c r="H116" i="5" a="1"/>
  <c r="M116" i="5" a="1"/>
  <c r="L117" i="5" a="1"/>
  <c r="Q117" i="5" a="1"/>
  <c r="J49" i="5" a="1"/>
  <c r="K76" i="5" a="1"/>
  <c r="R79" i="5" a="1"/>
  <c r="G87" i="5" a="1"/>
  <c r="N90" i="5" a="1"/>
  <c r="O97" i="5" a="1"/>
  <c r="G109" i="5" a="1"/>
  <c r="R109" i="5" a="1"/>
  <c r="J111" i="5" a="1"/>
  <c r="O111" i="5" a="1"/>
  <c r="N112" i="5" a="1"/>
  <c r="G113" i="5" a="1"/>
  <c r="R113" i="5" a="1"/>
  <c r="K114" i="5" a="1"/>
  <c r="J115" i="5" a="1"/>
  <c r="O115" i="5" a="1"/>
  <c r="N116" i="5" a="1"/>
  <c r="G117" i="5" a="1"/>
  <c r="R117" i="5" a="1"/>
  <c r="K118" i="5" a="1"/>
  <c r="P118" i="5" a="1"/>
  <c r="H119" i="5" a="1"/>
  <c r="L119" i="5" a="1"/>
  <c r="P119" i="5" a="1"/>
  <c r="H120" i="5" a="1"/>
  <c r="L120" i="5" a="1"/>
  <c r="P120" i="5" a="1"/>
  <c r="H121" i="5" a="1"/>
  <c r="L121" i="5" a="1"/>
  <c r="P121" i="5" a="1"/>
  <c r="H122" i="5" a="1"/>
  <c r="L122" i="5" a="1"/>
  <c r="P122" i="5" a="1"/>
  <c r="H123" i="5" a="1"/>
  <c r="L123" i="5" a="1"/>
  <c r="P123" i="5" a="1"/>
  <c r="H124" i="5" a="1"/>
  <c r="L124" i="5" a="1"/>
  <c r="P124" i="5" a="1"/>
  <c r="H125" i="5" a="1"/>
  <c r="L125" i="5" a="1"/>
  <c r="P125" i="5" a="1"/>
  <c r="H126" i="5" a="1"/>
  <c r="L126" i="5" a="1"/>
  <c r="P126" i="5" a="1"/>
  <c r="H127" i="5" a="1"/>
  <c r="L127" i="5" a="1"/>
  <c r="P127" i="5" a="1"/>
  <c r="H128" i="5" a="1"/>
  <c r="L128" i="5" a="1"/>
  <c r="P128" i="5" a="1"/>
  <c r="H129" i="5" a="1"/>
  <c r="L129" i="5" a="1"/>
  <c r="P129" i="5" a="1"/>
  <c r="H130" i="5" a="1"/>
  <c r="L130" i="5" a="1"/>
  <c r="P130" i="5" a="1"/>
  <c r="H131" i="5" a="1"/>
  <c r="L131" i="5" a="1"/>
  <c r="P131" i="5" a="1"/>
  <c r="H132" i="5" a="1"/>
  <c r="L132" i="5" a="1"/>
  <c r="P132" i="5" a="1"/>
  <c r="H133" i="5" a="1"/>
  <c r="L133" i="5" a="1"/>
  <c r="P133" i="5" a="1"/>
  <c r="H134" i="5" a="1"/>
  <c r="L134" i="5" a="1"/>
  <c r="P134" i="5" a="1"/>
  <c r="H135" i="5" a="1"/>
  <c r="L135" i="5" a="1"/>
  <c r="P135" i="5" a="1"/>
  <c r="H136" i="5" a="1"/>
  <c r="L136" i="5" a="1"/>
  <c r="P136" i="5" a="1"/>
  <c r="H137" i="5" a="1"/>
  <c r="L137" i="5" a="1"/>
  <c r="P137" i="5" a="1"/>
  <c r="H138" i="5" a="1"/>
  <c r="L138" i="5" a="1"/>
  <c r="P138" i="5" a="1"/>
  <c r="H139" i="5" a="1"/>
  <c r="L139" i="5" a="1"/>
  <c r="P139" i="5" a="1"/>
  <c r="H140" i="5" a="1"/>
  <c r="L140" i="5" a="1"/>
  <c r="P140" i="5" a="1"/>
  <c r="H141" i="5" a="1"/>
  <c r="L141" i="5" a="1"/>
  <c r="P141" i="5" a="1"/>
  <c r="H142" i="5" a="1"/>
  <c r="L142" i="5" a="1"/>
  <c r="P142" i="5" a="1"/>
  <c r="H143" i="5" a="1"/>
  <c r="L143" i="5" a="1"/>
  <c r="P143" i="5" a="1"/>
  <c r="H144" i="5" a="1"/>
  <c r="L144" i="5" a="1"/>
  <c r="P144" i="5" a="1"/>
  <c r="L145" i="5" a="1"/>
  <c r="P145" i="5" a="1"/>
  <c r="L146" i="5" a="1"/>
  <c r="H147" i="5" a="1"/>
  <c r="P147" i="5" a="1"/>
  <c r="L148" i="5" a="1"/>
  <c r="L149" i="5" a="1"/>
  <c r="H150" i="5" a="1"/>
  <c r="H151" i="5" a="1"/>
  <c r="P151" i="5" a="1"/>
  <c r="L152" i="5" a="1"/>
  <c r="H153" i="5" a="1"/>
  <c r="P153" i="5" a="1"/>
  <c r="L154" i="5" a="1"/>
  <c r="L155" i="5" a="1"/>
  <c r="P72" i="5" a="1"/>
  <c r="J77" i="5" a="1"/>
  <c r="K84" i="5" a="1"/>
  <c r="R87" i="5" a="1"/>
  <c r="G95" i="5" a="1"/>
  <c r="N98" i="5" a="1"/>
  <c r="K108" i="5" a="1"/>
  <c r="J109" i="5" a="1"/>
  <c r="L111" i="5" a="1"/>
  <c r="I113" i="5" a="1"/>
  <c r="M114" i="5" a="1"/>
  <c r="Q115" i="5" a="1"/>
  <c r="I117" i="5" a="1"/>
  <c r="H118" i="5" a="1"/>
  <c r="H2" i="5" a="1"/>
  <c r="I2" i="5" a="1"/>
  <c r="M2" i="5" a="1"/>
  <c r="O2" i="5" a="1"/>
  <c r="Q2" i="5" a="1"/>
  <c r="J2" i="5" a="1"/>
  <c r="L2" i="5" a="1"/>
  <c r="N2" i="5" a="1"/>
  <c r="P2" i="5" a="1"/>
  <c r="R2" i="5" a="1"/>
  <c r="K2" i="5" a="1"/>
  <c r="G2" i="5" a="1"/>
  <c r="H118" i="5" l="1"/>
  <c r="I117" i="5"/>
  <c r="Q115" i="5"/>
  <c r="M114" i="5"/>
  <c r="I113" i="5"/>
  <c r="L111" i="5"/>
  <c r="J109" i="5"/>
  <c r="K108" i="5"/>
  <c r="N98" i="5"/>
  <c r="G95" i="5"/>
  <c r="R87" i="5"/>
  <c r="K84" i="5"/>
  <c r="J77" i="5"/>
  <c r="P72" i="5"/>
  <c r="L155" i="5"/>
  <c r="L154" i="5"/>
  <c r="P153" i="5"/>
  <c r="H153" i="5"/>
  <c r="L152" i="5"/>
  <c r="P151" i="5"/>
  <c r="H151" i="5"/>
  <c r="H150" i="5"/>
  <c r="L149" i="5"/>
  <c r="L148" i="5"/>
  <c r="P147" i="5"/>
  <c r="H147" i="5"/>
  <c r="L146" i="5"/>
  <c r="P145" i="5"/>
  <c r="L145" i="5"/>
  <c r="P144" i="5"/>
  <c r="L144" i="5"/>
  <c r="H144" i="5"/>
  <c r="P143" i="5"/>
  <c r="L143" i="5"/>
  <c r="H143" i="5"/>
  <c r="P142" i="5"/>
  <c r="L142" i="5"/>
  <c r="H142" i="5"/>
  <c r="P141" i="5"/>
  <c r="L141" i="5"/>
  <c r="H141" i="5"/>
  <c r="P140" i="5"/>
  <c r="L140" i="5"/>
  <c r="H140" i="5"/>
  <c r="P139" i="5"/>
  <c r="L139" i="5"/>
  <c r="H139" i="5"/>
  <c r="P138" i="5"/>
  <c r="L138" i="5"/>
  <c r="H138" i="5"/>
  <c r="P137" i="5"/>
  <c r="L137" i="5"/>
  <c r="H137" i="5"/>
  <c r="P136" i="5"/>
  <c r="L136" i="5"/>
  <c r="H136" i="5"/>
  <c r="P135" i="5"/>
  <c r="L135" i="5"/>
  <c r="H135" i="5"/>
  <c r="P134" i="5"/>
  <c r="L134" i="5"/>
  <c r="H134" i="5"/>
  <c r="P133" i="5"/>
  <c r="L133" i="5"/>
  <c r="H133" i="5"/>
  <c r="P132" i="5"/>
  <c r="L132" i="5"/>
  <c r="H132" i="5"/>
  <c r="P131" i="5"/>
  <c r="L131" i="5"/>
  <c r="H131" i="5"/>
  <c r="P130" i="5"/>
  <c r="L130" i="5"/>
  <c r="H130" i="5"/>
  <c r="P129" i="5"/>
  <c r="L129" i="5"/>
  <c r="H129" i="5"/>
  <c r="P128" i="5"/>
  <c r="L128" i="5"/>
  <c r="H128" i="5"/>
  <c r="P127" i="5"/>
  <c r="L127" i="5"/>
  <c r="H127" i="5"/>
  <c r="P126" i="5"/>
  <c r="L126" i="5"/>
  <c r="H126" i="5"/>
  <c r="P125" i="5"/>
  <c r="L125" i="5"/>
  <c r="H125" i="5"/>
  <c r="P124" i="5"/>
  <c r="L124" i="5"/>
  <c r="H124" i="5"/>
  <c r="P123" i="5"/>
  <c r="L123" i="5"/>
  <c r="H123" i="5"/>
  <c r="P122" i="5"/>
  <c r="L122" i="5"/>
  <c r="H122" i="5"/>
  <c r="P121" i="5"/>
  <c r="L121" i="5"/>
  <c r="H121" i="5"/>
  <c r="P120" i="5"/>
  <c r="L120" i="5"/>
  <c r="H120" i="5"/>
  <c r="P119" i="5"/>
  <c r="L119" i="5"/>
  <c r="H119" i="5"/>
  <c r="P118" i="5"/>
  <c r="K118" i="5"/>
  <c r="R117" i="5"/>
  <c r="G117" i="5"/>
  <c r="N116" i="5"/>
  <c r="O115" i="5"/>
  <c r="J115" i="5"/>
  <c r="K114" i="5"/>
  <c r="R113" i="5"/>
  <c r="G113" i="5"/>
  <c r="N112" i="5"/>
  <c r="O111" i="5"/>
  <c r="J111" i="5"/>
  <c r="R109" i="5"/>
  <c r="G109" i="5"/>
  <c r="O97" i="5"/>
  <c r="N90" i="5"/>
  <c r="G87" i="5"/>
  <c r="R79" i="5"/>
  <c r="K76" i="5"/>
  <c r="J49" i="5"/>
  <c r="Q117" i="5"/>
  <c r="L117" i="5"/>
  <c r="M116" i="5"/>
  <c r="H116" i="5"/>
  <c r="I115" i="5"/>
  <c r="P114" i="5"/>
  <c r="Q113" i="5"/>
  <c r="L113" i="5"/>
  <c r="M112" i="5"/>
  <c r="H112" i="5"/>
  <c r="I111" i="5"/>
  <c r="N110" i="5"/>
  <c r="O109" i="5"/>
  <c r="R107" i="5"/>
  <c r="J93" i="5"/>
  <c r="O89" i="5"/>
  <c r="N82" i="5"/>
  <c r="G79" i="5"/>
  <c r="L75" i="5"/>
  <c r="H44" i="5"/>
  <c r="M118" i="5"/>
  <c r="P116" i="5"/>
  <c r="L115" i="5"/>
  <c r="H114" i="5"/>
  <c r="P112" i="5"/>
  <c r="Q111" i="5"/>
  <c r="P155" i="5"/>
  <c r="H155" i="5"/>
  <c r="P154" i="5"/>
  <c r="H154" i="5"/>
  <c r="L153" i="5"/>
  <c r="P152" i="5"/>
  <c r="H152" i="5"/>
  <c r="L151" i="5"/>
  <c r="P150" i="5"/>
  <c r="L150" i="5"/>
  <c r="P149" i="5"/>
  <c r="H149" i="5"/>
  <c r="P148" i="5"/>
  <c r="H148" i="5"/>
  <c r="L147" i="5"/>
  <c r="P146" i="5"/>
  <c r="H146" i="5"/>
  <c r="H145" i="5"/>
  <c r="R155" i="5"/>
  <c r="N155" i="5"/>
  <c r="J155" i="5"/>
  <c r="R154" i="5"/>
  <c r="N154" i="5"/>
  <c r="J154" i="5"/>
  <c r="R153" i="5"/>
  <c r="N153" i="5"/>
  <c r="J153" i="5"/>
  <c r="R152" i="5"/>
  <c r="N152" i="5"/>
  <c r="J152" i="5"/>
  <c r="R151" i="5"/>
  <c r="N151" i="5"/>
  <c r="J151" i="5"/>
  <c r="R150" i="5"/>
  <c r="N150" i="5"/>
  <c r="J150" i="5"/>
  <c r="R149" i="5"/>
  <c r="N149" i="5"/>
  <c r="J149" i="5"/>
  <c r="R148" i="5"/>
  <c r="N148" i="5"/>
  <c r="J148" i="5"/>
  <c r="R147" i="5"/>
  <c r="N147" i="5"/>
  <c r="J147" i="5"/>
  <c r="R146" i="5"/>
  <c r="N146" i="5"/>
  <c r="J146" i="5"/>
  <c r="R145" i="5"/>
  <c r="N145" i="5"/>
  <c r="J145" i="5"/>
  <c r="R144" i="5"/>
  <c r="N144" i="5"/>
  <c r="J144" i="5"/>
  <c r="R143" i="5"/>
  <c r="N143" i="5"/>
  <c r="J143" i="5"/>
  <c r="R142" i="5"/>
  <c r="N142" i="5"/>
  <c r="J142" i="5"/>
  <c r="R141" i="5"/>
  <c r="N141" i="5"/>
  <c r="J141" i="5"/>
  <c r="R140" i="5"/>
  <c r="N140" i="5"/>
  <c r="J140" i="5"/>
  <c r="R139" i="5"/>
  <c r="N139" i="5"/>
  <c r="J139" i="5"/>
  <c r="R138" i="5"/>
  <c r="N138" i="5"/>
  <c r="J138" i="5"/>
  <c r="R137" i="5"/>
  <c r="N137" i="5"/>
  <c r="J137" i="5"/>
  <c r="R136" i="5"/>
  <c r="N136" i="5"/>
  <c r="J136" i="5"/>
  <c r="R135" i="5"/>
  <c r="N135" i="5"/>
  <c r="J135" i="5"/>
  <c r="R134" i="5"/>
  <c r="N134" i="5"/>
  <c r="J134" i="5"/>
  <c r="R133" i="5"/>
  <c r="N133" i="5"/>
  <c r="J133" i="5"/>
  <c r="R132" i="5"/>
  <c r="N132" i="5"/>
  <c r="J132" i="5"/>
  <c r="R131" i="5"/>
  <c r="N131" i="5"/>
  <c r="J131" i="5"/>
  <c r="R130" i="5"/>
  <c r="N130" i="5"/>
  <c r="J130" i="5"/>
  <c r="R129" i="5"/>
  <c r="N129" i="5"/>
  <c r="J129" i="5"/>
  <c r="R128" i="5"/>
  <c r="N128" i="5"/>
  <c r="J128" i="5"/>
  <c r="R127" i="5"/>
  <c r="N127" i="5"/>
  <c r="J127" i="5"/>
  <c r="R126" i="5"/>
  <c r="N126" i="5"/>
  <c r="J126" i="5"/>
  <c r="R125" i="5"/>
  <c r="N125" i="5"/>
  <c r="J125" i="5"/>
  <c r="R124" i="5"/>
  <c r="N124" i="5"/>
  <c r="J124" i="5"/>
  <c r="R123" i="5"/>
  <c r="N123" i="5"/>
  <c r="J123" i="5"/>
  <c r="R122" i="5"/>
  <c r="N122" i="5"/>
  <c r="J122" i="5"/>
  <c r="R121" i="5"/>
  <c r="N121" i="5"/>
  <c r="J121" i="5"/>
  <c r="R120" i="5"/>
  <c r="N120" i="5"/>
  <c r="J120" i="5"/>
  <c r="R119" i="5"/>
  <c r="N119" i="5"/>
  <c r="J119" i="5"/>
  <c r="R118" i="5"/>
  <c r="N118" i="5"/>
  <c r="O117" i="5"/>
  <c r="J117" i="5"/>
  <c r="K116" i="5"/>
  <c r="R115" i="5"/>
  <c r="G115" i="5"/>
  <c r="N114" i="5"/>
  <c r="O113" i="5"/>
  <c r="J113" i="5"/>
  <c r="K112" i="5"/>
  <c r="R111" i="5"/>
  <c r="G111" i="5"/>
  <c r="K110" i="5"/>
  <c r="N108" i="5"/>
  <c r="R95" i="5"/>
  <c r="K92" i="5"/>
  <c r="J85" i="5"/>
  <c r="O81" i="5"/>
  <c r="H74" i="5"/>
  <c r="G37" i="5"/>
  <c r="P110" i="5"/>
  <c r="H110" i="5"/>
  <c r="I109" i="5"/>
  <c r="P108" i="5"/>
  <c r="Q107" i="5"/>
  <c r="K98" i="5"/>
  <c r="O95" i="5"/>
  <c r="R93" i="5"/>
  <c r="K90" i="5"/>
  <c r="N88" i="5"/>
  <c r="O87" i="5"/>
  <c r="G85" i="5"/>
  <c r="J83" i="5"/>
  <c r="K82" i="5"/>
  <c r="N80" i="5"/>
  <c r="O79" i="5"/>
  <c r="R77" i="5"/>
  <c r="G77" i="5"/>
  <c r="H75" i="5"/>
  <c r="P73" i="5"/>
  <c r="L72" i="5"/>
  <c r="O155" i="5"/>
  <c r="I155" i="5"/>
  <c r="Q154" i="5"/>
  <c r="M154" i="5"/>
  <c r="I154" i="5"/>
  <c r="Q153" i="5"/>
  <c r="M153" i="5"/>
  <c r="I153" i="5"/>
  <c r="Q152" i="5"/>
  <c r="M152" i="5"/>
  <c r="I152" i="5"/>
  <c r="O151" i="5"/>
  <c r="K151" i="5"/>
  <c r="G151" i="5"/>
  <c r="O150" i="5"/>
  <c r="K150" i="5"/>
  <c r="G150" i="5"/>
  <c r="O149" i="5"/>
  <c r="K149" i="5"/>
  <c r="G149" i="5"/>
  <c r="O148" i="5"/>
  <c r="M148" i="5"/>
  <c r="K148" i="5"/>
  <c r="I148" i="5"/>
  <c r="G148" i="5"/>
  <c r="Q147" i="5"/>
  <c r="O147" i="5"/>
  <c r="M147" i="5"/>
  <c r="K147" i="5"/>
  <c r="I147" i="5"/>
  <c r="G147" i="5"/>
  <c r="Q146" i="5"/>
  <c r="O146" i="5"/>
  <c r="K146" i="5"/>
  <c r="I146" i="5"/>
  <c r="G146" i="5"/>
  <c r="Q145" i="5"/>
  <c r="O145" i="5"/>
  <c r="M145" i="5"/>
  <c r="K145" i="5"/>
  <c r="I145" i="5"/>
  <c r="G145" i="5"/>
  <c r="Q144" i="5"/>
  <c r="O144" i="5"/>
  <c r="M144" i="5"/>
  <c r="K144" i="5"/>
  <c r="I144" i="5"/>
  <c r="G144" i="5"/>
  <c r="Q143" i="5"/>
  <c r="O143" i="5"/>
  <c r="M143" i="5"/>
  <c r="K143" i="5"/>
  <c r="I143" i="5"/>
  <c r="G143" i="5"/>
  <c r="Q142" i="5"/>
  <c r="O142" i="5"/>
  <c r="M142" i="5"/>
  <c r="K142" i="5"/>
  <c r="I142" i="5"/>
  <c r="G142" i="5"/>
  <c r="Q141" i="5"/>
  <c r="O141" i="5"/>
  <c r="M141" i="5"/>
  <c r="K141" i="5"/>
  <c r="I141" i="5"/>
  <c r="G141" i="5"/>
  <c r="Q140" i="5"/>
  <c r="O140" i="5"/>
  <c r="M140" i="5"/>
  <c r="K140" i="5"/>
  <c r="I140" i="5"/>
  <c r="G140" i="5"/>
  <c r="Q139" i="5"/>
  <c r="O139" i="5"/>
  <c r="M139" i="5"/>
  <c r="K139" i="5"/>
  <c r="I139" i="5"/>
  <c r="G139" i="5"/>
  <c r="Q138" i="5"/>
  <c r="O138" i="5"/>
  <c r="M138" i="5"/>
  <c r="K138" i="5"/>
  <c r="I138" i="5"/>
  <c r="G138" i="5"/>
  <c r="Q137" i="5"/>
  <c r="O137" i="5"/>
  <c r="M137" i="5"/>
  <c r="K137" i="5"/>
  <c r="I137" i="5"/>
  <c r="G137" i="5"/>
  <c r="Q136" i="5"/>
  <c r="O136" i="5"/>
  <c r="M136" i="5"/>
  <c r="K136" i="5"/>
  <c r="I136" i="5"/>
  <c r="G136" i="5"/>
  <c r="Q135" i="5"/>
  <c r="O135" i="5"/>
  <c r="M135" i="5"/>
  <c r="K135" i="5"/>
  <c r="I135" i="5"/>
  <c r="G135" i="5"/>
  <c r="Q134" i="5"/>
  <c r="O134" i="5"/>
  <c r="M134" i="5"/>
  <c r="K134" i="5"/>
  <c r="I134" i="5"/>
  <c r="G134" i="5"/>
  <c r="Q133" i="5"/>
  <c r="O133" i="5"/>
  <c r="M133" i="5"/>
  <c r="K133" i="5"/>
  <c r="I133" i="5"/>
  <c r="G133" i="5"/>
  <c r="Q132" i="5"/>
  <c r="O132" i="5"/>
  <c r="M132" i="5"/>
  <c r="K132" i="5"/>
  <c r="I132" i="5"/>
  <c r="G132" i="5"/>
  <c r="Q131" i="5"/>
  <c r="O131" i="5"/>
  <c r="M131" i="5"/>
  <c r="K131" i="5"/>
  <c r="I131" i="5"/>
  <c r="G131" i="5"/>
  <c r="Q130" i="5"/>
  <c r="O130" i="5"/>
  <c r="M130" i="5"/>
  <c r="K130" i="5"/>
  <c r="I130" i="5"/>
  <c r="G130" i="5"/>
  <c r="Q129" i="5"/>
  <c r="O129" i="5"/>
  <c r="M129" i="5"/>
  <c r="K129" i="5"/>
  <c r="I129" i="5"/>
  <c r="G129" i="5"/>
  <c r="Q128" i="5"/>
  <c r="O128" i="5"/>
  <c r="M128" i="5"/>
  <c r="K128" i="5"/>
  <c r="I128" i="5"/>
  <c r="G128" i="5"/>
  <c r="Q127" i="5"/>
  <c r="O127" i="5"/>
  <c r="M127" i="5"/>
  <c r="K127" i="5"/>
  <c r="I127" i="5"/>
  <c r="G127" i="5"/>
  <c r="Q126" i="5"/>
  <c r="O126" i="5"/>
  <c r="M126" i="5"/>
  <c r="K126" i="5"/>
  <c r="I126" i="5"/>
  <c r="G126" i="5"/>
  <c r="Q125" i="5"/>
  <c r="O125" i="5"/>
  <c r="M125" i="5"/>
  <c r="K125" i="5"/>
  <c r="I125" i="5"/>
  <c r="G125" i="5"/>
  <c r="Q124" i="5"/>
  <c r="O124" i="5"/>
  <c r="M124" i="5"/>
  <c r="K124" i="5"/>
  <c r="I124" i="5"/>
  <c r="G124" i="5"/>
  <c r="Q123" i="5"/>
  <c r="O123" i="5"/>
  <c r="M123" i="5"/>
  <c r="K123" i="5"/>
  <c r="I123" i="5"/>
  <c r="G123" i="5"/>
  <c r="Q122" i="5"/>
  <c r="O122" i="5"/>
  <c r="M122" i="5"/>
  <c r="K122" i="5"/>
  <c r="I122" i="5"/>
  <c r="G122" i="5"/>
  <c r="Q121" i="5"/>
  <c r="O121" i="5"/>
  <c r="M121" i="5"/>
  <c r="K121" i="5"/>
  <c r="I121" i="5"/>
  <c r="G121" i="5"/>
  <c r="Q120" i="5"/>
  <c r="O120" i="5"/>
  <c r="M120" i="5"/>
  <c r="K120" i="5"/>
  <c r="I120" i="5"/>
  <c r="G120" i="5"/>
  <c r="Q119" i="5"/>
  <c r="O119" i="5"/>
  <c r="M119" i="5"/>
  <c r="K119" i="5"/>
  <c r="I119" i="5"/>
  <c r="G119" i="5"/>
  <c r="Q118" i="5"/>
  <c r="O118" i="5"/>
  <c r="J118" i="5"/>
  <c r="G118" i="5"/>
  <c r="N117" i="5"/>
  <c r="K117" i="5"/>
  <c r="R116" i="5"/>
  <c r="O116" i="5"/>
  <c r="J116" i="5"/>
  <c r="G116" i="5"/>
  <c r="N115" i="5"/>
  <c r="K115" i="5"/>
  <c r="R114" i="5"/>
  <c r="O114" i="5"/>
  <c r="J114" i="5"/>
  <c r="G114" i="5"/>
  <c r="N113" i="5"/>
  <c r="K113" i="5"/>
  <c r="R112" i="5"/>
  <c r="O112" i="5"/>
  <c r="J112" i="5"/>
  <c r="G112" i="5"/>
  <c r="N111" i="5"/>
  <c r="K111" i="5"/>
  <c r="R110" i="5"/>
  <c r="O110" i="5"/>
  <c r="J110" i="5"/>
  <c r="G110" i="5"/>
  <c r="N109" i="5"/>
  <c r="K109" i="5"/>
  <c r="R108" i="5"/>
  <c r="O108" i="5"/>
  <c r="J108" i="5"/>
  <c r="G108" i="5"/>
  <c r="R99" i="5"/>
  <c r="G99" i="5"/>
  <c r="J97" i="5"/>
  <c r="K96" i="5"/>
  <c r="N94" i="5"/>
  <c r="O93" i="5"/>
  <c r="R91" i="5"/>
  <c r="G91" i="5"/>
  <c r="J89" i="5"/>
  <c r="K88" i="5"/>
  <c r="N86" i="5"/>
  <c r="O85" i="5"/>
  <c r="R83" i="5"/>
  <c r="G83" i="5"/>
  <c r="J81" i="5"/>
  <c r="K80" i="5"/>
  <c r="N78" i="5"/>
  <c r="O77" i="5"/>
  <c r="R75" i="5"/>
  <c r="P74" i="5"/>
  <c r="L73" i="5"/>
  <c r="H72" i="5"/>
  <c r="L47" i="5"/>
  <c r="M110" i="5"/>
  <c r="Q109" i="5"/>
  <c r="L109" i="5"/>
  <c r="M108" i="5"/>
  <c r="H108" i="5"/>
  <c r="J99" i="5"/>
  <c r="N96" i="5"/>
  <c r="G93" i="5"/>
  <c r="J91" i="5"/>
  <c r="R85" i="5"/>
  <c r="K42" i="5"/>
  <c r="Q155" i="5"/>
  <c r="M155" i="5"/>
  <c r="K155" i="5"/>
  <c r="G155" i="5"/>
  <c r="O154" i="5"/>
  <c r="K154" i="5"/>
  <c r="G154" i="5"/>
  <c r="O153" i="5"/>
  <c r="K153" i="5"/>
  <c r="G153" i="5"/>
  <c r="O152" i="5"/>
  <c r="K152" i="5"/>
  <c r="G152" i="5"/>
  <c r="Q151" i="5"/>
  <c r="M151" i="5"/>
  <c r="I151" i="5"/>
  <c r="Q150" i="5"/>
  <c r="M150" i="5"/>
  <c r="I150" i="5"/>
  <c r="Q149" i="5"/>
  <c r="M149" i="5"/>
  <c r="I149" i="5"/>
  <c r="Q148" i="5"/>
  <c r="M146" i="5"/>
  <c r="L118" i="5"/>
  <c r="I118" i="5"/>
  <c r="P117" i="5"/>
  <c r="M117" i="5"/>
  <c r="H117" i="5"/>
  <c r="Q116" i="5"/>
  <c r="L116" i="5"/>
  <c r="I116" i="5"/>
  <c r="P115" i="5"/>
  <c r="M115" i="5"/>
  <c r="H115" i="5"/>
  <c r="Q114" i="5"/>
  <c r="L114" i="5"/>
  <c r="I114" i="5"/>
  <c r="P113" i="5"/>
  <c r="M113" i="5"/>
  <c r="H113" i="5"/>
  <c r="Q112" i="5"/>
  <c r="L112" i="5"/>
  <c r="I112" i="5"/>
  <c r="P111" i="5"/>
  <c r="M111" i="5"/>
  <c r="H111" i="5"/>
  <c r="Q110" i="5"/>
  <c r="L110" i="5"/>
  <c r="I110" i="5"/>
  <c r="P109" i="5"/>
  <c r="M109" i="5"/>
  <c r="H109" i="5"/>
  <c r="Q108" i="5"/>
  <c r="L108" i="5"/>
  <c r="I108" i="5"/>
  <c r="O107" i="5"/>
  <c r="O99" i="5"/>
  <c r="R97" i="5"/>
  <c r="G97" i="5"/>
  <c r="J95" i="5"/>
  <c r="K94" i="5"/>
  <c r="N92" i="5"/>
  <c r="O91" i="5"/>
  <c r="R89" i="5"/>
  <c r="G89" i="5"/>
  <c r="J87" i="5"/>
  <c r="K86" i="5"/>
  <c r="N84" i="5"/>
  <c r="O83" i="5"/>
  <c r="R81" i="5"/>
  <c r="G81" i="5"/>
  <c r="J79" i="5"/>
  <c r="K78" i="5"/>
  <c r="N76" i="5"/>
  <c r="O75" i="5"/>
  <c r="L74" i="5"/>
  <c r="H73" i="5"/>
  <c r="I50" i="5"/>
  <c r="P38" i="5"/>
  <c r="P107" i="5"/>
  <c r="N107" i="5"/>
  <c r="L107" i="5"/>
  <c r="J107" i="5"/>
  <c r="H107" i="5"/>
  <c r="R106" i="5"/>
  <c r="P106" i="5"/>
  <c r="N106" i="5"/>
  <c r="L106" i="5"/>
  <c r="J106" i="5"/>
  <c r="H106" i="5"/>
  <c r="R105" i="5"/>
  <c r="P105" i="5"/>
  <c r="N105" i="5"/>
  <c r="L105" i="5"/>
  <c r="J105" i="5"/>
  <c r="H105" i="5"/>
  <c r="R104" i="5"/>
  <c r="P104" i="5"/>
  <c r="N104" i="5"/>
  <c r="L104" i="5"/>
  <c r="J104" i="5"/>
  <c r="H104" i="5"/>
  <c r="R103" i="5"/>
  <c r="P103" i="5"/>
  <c r="N103" i="5"/>
  <c r="L103" i="5"/>
  <c r="J103" i="5"/>
  <c r="H103" i="5"/>
  <c r="R102" i="5"/>
  <c r="P102" i="5"/>
  <c r="N102" i="5"/>
  <c r="L102" i="5"/>
  <c r="J102" i="5"/>
  <c r="H102" i="5"/>
  <c r="R101" i="5"/>
  <c r="P101" i="5"/>
  <c r="N101" i="5"/>
  <c r="L101" i="5"/>
  <c r="J101" i="5"/>
  <c r="H101" i="5"/>
  <c r="R100" i="5"/>
  <c r="P100" i="5"/>
  <c r="N100" i="5"/>
  <c r="L100" i="5"/>
  <c r="J100" i="5"/>
  <c r="H100" i="5"/>
  <c r="Q99" i="5"/>
  <c r="L99" i="5"/>
  <c r="I99" i="5"/>
  <c r="P98" i="5"/>
  <c r="M98" i="5"/>
  <c r="H98" i="5"/>
  <c r="Q97" i="5"/>
  <c r="L97" i="5"/>
  <c r="I97" i="5"/>
  <c r="P96" i="5"/>
  <c r="M96" i="5"/>
  <c r="H96" i="5"/>
  <c r="Q95" i="5"/>
  <c r="L95" i="5"/>
  <c r="I95" i="5"/>
  <c r="P94" i="5"/>
  <c r="M94" i="5"/>
  <c r="H94" i="5"/>
  <c r="Q93" i="5"/>
  <c r="L93" i="5"/>
  <c r="I93" i="5"/>
  <c r="P92" i="5"/>
  <c r="M92" i="5"/>
  <c r="H92" i="5"/>
  <c r="Q91" i="5"/>
  <c r="L91" i="5"/>
  <c r="I91" i="5"/>
  <c r="P90" i="5"/>
  <c r="M90" i="5"/>
  <c r="H90" i="5"/>
  <c r="Q89" i="5"/>
  <c r="L89" i="5"/>
  <c r="I89" i="5"/>
  <c r="P88" i="5"/>
  <c r="M88" i="5"/>
  <c r="H88" i="5"/>
  <c r="Q87" i="5"/>
  <c r="L87" i="5"/>
  <c r="I87" i="5"/>
  <c r="P86" i="5"/>
  <c r="M86" i="5"/>
  <c r="H86" i="5"/>
  <c r="Q85" i="5"/>
  <c r="L85" i="5"/>
  <c r="I85" i="5"/>
  <c r="P84" i="5"/>
  <c r="M84" i="5"/>
  <c r="H84" i="5"/>
  <c r="Q83" i="5"/>
  <c r="L83" i="5"/>
  <c r="I83" i="5"/>
  <c r="P82" i="5"/>
  <c r="M82" i="5"/>
  <c r="H82" i="5"/>
  <c r="Q81" i="5"/>
  <c r="L81" i="5"/>
  <c r="I81" i="5"/>
  <c r="P80" i="5"/>
  <c r="M80" i="5"/>
  <c r="H80" i="5"/>
  <c r="Q79" i="5"/>
  <c r="L79" i="5"/>
  <c r="I79" i="5"/>
  <c r="P78" i="5"/>
  <c r="M78" i="5"/>
  <c r="H78" i="5"/>
  <c r="Q77" i="5"/>
  <c r="L77" i="5"/>
  <c r="I77" i="5"/>
  <c r="P76" i="5"/>
  <c r="M76" i="5"/>
  <c r="H76" i="5"/>
  <c r="Q75" i="5"/>
  <c r="R49" i="5"/>
  <c r="I48" i="5"/>
  <c r="H47" i="5"/>
  <c r="L45" i="5"/>
  <c r="O43" i="5"/>
  <c r="H40" i="5"/>
  <c r="K38" i="5"/>
  <c r="N21" i="5"/>
  <c r="G100" i="5"/>
  <c r="N99" i="5"/>
  <c r="K99" i="5"/>
  <c r="R98" i="5"/>
  <c r="O98" i="5"/>
  <c r="J98" i="5"/>
  <c r="G98" i="5"/>
  <c r="N97" i="5"/>
  <c r="K97" i="5"/>
  <c r="R96" i="5"/>
  <c r="O96" i="5"/>
  <c r="J96" i="5"/>
  <c r="G96" i="5"/>
  <c r="N95" i="5"/>
  <c r="K95" i="5"/>
  <c r="R94" i="5"/>
  <c r="O94" i="5"/>
  <c r="J94" i="5"/>
  <c r="G94" i="5"/>
  <c r="N93" i="5"/>
  <c r="K93" i="5"/>
  <c r="R92" i="5"/>
  <c r="O92" i="5"/>
  <c r="J92" i="5"/>
  <c r="G92" i="5"/>
  <c r="N91" i="5"/>
  <c r="K91" i="5"/>
  <c r="R90" i="5"/>
  <c r="O90" i="5"/>
  <c r="J90" i="5"/>
  <c r="G90" i="5"/>
  <c r="N89" i="5"/>
  <c r="K89" i="5"/>
  <c r="R88" i="5"/>
  <c r="O88" i="5"/>
  <c r="J88" i="5"/>
  <c r="G88" i="5"/>
  <c r="N87" i="5"/>
  <c r="K87" i="5"/>
  <c r="R86" i="5"/>
  <c r="O86" i="5"/>
  <c r="J86" i="5"/>
  <c r="G86" i="5"/>
  <c r="N85" i="5"/>
  <c r="K85" i="5"/>
  <c r="R84" i="5"/>
  <c r="O84" i="5"/>
  <c r="J84" i="5"/>
  <c r="G84" i="5"/>
  <c r="N83" i="5"/>
  <c r="K83" i="5"/>
  <c r="R82" i="5"/>
  <c r="O82" i="5"/>
  <c r="J82" i="5"/>
  <c r="G82" i="5"/>
  <c r="N81" i="5"/>
  <c r="K81" i="5"/>
  <c r="R80" i="5"/>
  <c r="O80" i="5"/>
  <c r="J80" i="5"/>
  <c r="G80" i="5"/>
  <c r="N79" i="5"/>
  <c r="K79" i="5"/>
  <c r="R78" i="5"/>
  <c r="O78" i="5"/>
  <c r="J78" i="5"/>
  <c r="G78" i="5"/>
  <c r="N77" i="5"/>
  <c r="K77" i="5"/>
  <c r="R76" i="5"/>
  <c r="O76" i="5"/>
  <c r="J76" i="5"/>
  <c r="G76" i="5"/>
  <c r="N75" i="5"/>
  <c r="J75" i="5"/>
  <c r="R74" i="5"/>
  <c r="N74" i="5"/>
  <c r="J74" i="5"/>
  <c r="R73" i="5"/>
  <c r="N73" i="5"/>
  <c r="J73" i="5"/>
  <c r="R72" i="5"/>
  <c r="N72" i="5"/>
  <c r="J72" i="5"/>
  <c r="R71" i="5"/>
  <c r="N50" i="5"/>
  <c r="Q48" i="5"/>
  <c r="R47" i="5"/>
  <c r="P46" i="5"/>
  <c r="G45" i="5"/>
  <c r="L41" i="5"/>
  <c r="O39" i="5"/>
  <c r="H36" i="5"/>
  <c r="R18" i="5"/>
  <c r="M107" i="5"/>
  <c r="K107" i="5"/>
  <c r="I107" i="5"/>
  <c r="G107" i="5"/>
  <c r="Q106" i="5"/>
  <c r="O106" i="5"/>
  <c r="M106" i="5"/>
  <c r="K106" i="5"/>
  <c r="I106" i="5"/>
  <c r="G106" i="5"/>
  <c r="Q105" i="5"/>
  <c r="O105" i="5"/>
  <c r="M105" i="5"/>
  <c r="K105" i="5"/>
  <c r="I105" i="5"/>
  <c r="G105" i="5"/>
  <c r="Q104" i="5"/>
  <c r="O104" i="5"/>
  <c r="M104" i="5"/>
  <c r="K104" i="5"/>
  <c r="I104" i="5"/>
  <c r="G104" i="5"/>
  <c r="Q103" i="5"/>
  <c r="O103" i="5"/>
  <c r="M103" i="5"/>
  <c r="K103" i="5"/>
  <c r="I103" i="5"/>
  <c r="G103" i="5"/>
  <c r="Q102" i="5"/>
  <c r="O102" i="5"/>
  <c r="M102" i="5"/>
  <c r="K102" i="5"/>
  <c r="I102" i="5"/>
  <c r="G102" i="5"/>
  <c r="Q101" i="5"/>
  <c r="O101" i="5"/>
  <c r="M101" i="5"/>
  <c r="K101" i="5"/>
  <c r="I101" i="5"/>
  <c r="G101" i="5"/>
  <c r="Q100" i="5"/>
  <c r="O100" i="5"/>
  <c r="M100" i="5"/>
  <c r="K100" i="5"/>
  <c r="I100" i="5"/>
  <c r="P99" i="5"/>
  <c r="M99" i="5"/>
  <c r="H99" i="5"/>
  <c r="Q98" i="5"/>
  <c r="L98" i="5"/>
  <c r="I98" i="5"/>
  <c r="P97" i="5"/>
  <c r="M97" i="5"/>
  <c r="H97" i="5"/>
  <c r="Q96" i="5"/>
  <c r="L96" i="5"/>
  <c r="I96" i="5"/>
  <c r="P95" i="5"/>
  <c r="M95" i="5"/>
  <c r="H95" i="5"/>
  <c r="Q94" i="5"/>
  <c r="L94" i="5"/>
  <c r="I94" i="5"/>
  <c r="P93" i="5"/>
  <c r="M93" i="5"/>
  <c r="H93" i="5"/>
  <c r="Q92" i="5"/>
  <c r="L92" i="5"/>
  <c r="I92" i="5"/>
  <c r="P91" i="5"/>
  <c r="M91" i="5"/>
  <c r="H91" i="5"/>
  <c r="Q90" i="5"/>
  <c r="L90" i="5"/>
  <c r="I90" i="5"/>
  <c r="P89" i="5"/>
  <c r="M89" i="5"/>
  <c r="H89" i="5"/>
  <c r="Q88" i="5"/>
  <c r="L88" i="5"/>
  <c r="I88" i="5"/>
  <c r="P87" i="5"/>
  <c r="M87" i="5"/>
  <c r="H87" i="5"/>
  <c r="Q86" i="5"/>
  <c r="L86" i="5"/>
  <c r="I86" i="5"/>
  <c r="P85" i="5"/>
  <c r="M85" i="5"/>
  <c r="H85" i="5"/>
  <c r="Q84" i="5"/>
  <c r="L84" i="5"/>
  <c r="I84" i="5"/>
  <c r="P83" i="5"/>
  <c r="M83" i="5"/>
  <c r="H83" i="5"/>
  <c r="Q82" i="5"/>
  <c r="L82" i="5"/>
  <c r="I82" i="5"/>
  <c r="P81" i="5"/>
  <c r="M81" i="5"/>
  <c r="H81" i="5"/>
  <c r="Q80" i="5"/>
  <c r="L80" i="5"/>
  <c r="I80" i="5"/>
  <c r="P79" i="5"/>
  <c r="M79" i="5"/>
  <c r="H79" i="5"/>
  <c r="Q78" i="5"/>
  <c r="L78" i="5"/>
  <c r="I78" i="5"/>
  <c r="P77" i="5"/>
  <c r="M77" i="5"/>
  <c r="H77" i="5"/>
  <c r="Q76" i="5"/>
  <c r="L76" i="5"/>
  <c r="I76" i="5"/>
  <c r="P75" i="5"/>
  <c r="M49" i="5"/>
  <c r="N48" i="5"/>
  <c r="K46" i="5"/>
  <c r="P42" i="5"/>
  <c r="G41" i="5"/>
  <c r="L37" i="5"/>
  <c r="O35" i="5"/>
  <c r="H14" i="5"/>
  <c r="P71" i="5"/>
  <c r="N71" i="5"/>
  <c r="L71" i="5"/>
  <c r="J71" i="5"/>
  <c r="H71" i="5"/>
  <c r="R70" i="5"/>
  <c r="P70" i="5"/>
  <c r="N70" i="5"/>
  <c r="L70" i="5"/>
  <c r="J70" i="5"/>
  <c r="H70" i="5"/>
  <c r="R69" i="5"/>
  <c r="P69" i="5"/>
  <c r="N69" i="5"/>
  <c r="L69" i="5"/>
  <c r="J69" i="5"/>
  <c r="H69" i="5"/>
  <c r="R68" i="5"/>
  <c r="P68" i="5"/>
  <c r="N68" i="5"/>
  <c r="L68" i="5"/>
  <c r="J68" i="5"/>
  <c r="H68" i="5"/>
  <c r="R67" i="5"/>
  <c r="P67" i="5"/>
  <c r="N67" i="5"/>
  <c r="L67" i="5"/>
  <c r="J67" i="5"/>
  <c r="H67" i="5"/>
  <c r="R66" i="5"/>
  <c r="P66" i="5"/>
  <c r="N66" i="5"/>
  <c r="L66" i="5"/>
  <c r="J66" i="5"/>
  <c r="H66" i="5"/>
  <c r="R65" i="5"/>
  <c r="P65" i="5"/>
  <c r="N65" i="5"/>
  <c r="L65" i="5"/>
  <c r="J65" i="5"/>
  <c r="H65" i="5"/>
  <c r="R64" i="5"/>
  <c r="P64" i="5"/>
  <c r="N64" i="5"/>
  <c r="L64" i="5"/>
  <c r="J64" i="5"/>
  <c r="H64" i="5"/>
  <c r="R63" i="5"/>
  <c r="P63" i="5"/>
  <c r="N63" i="5"/>
  <c r="L63" i="5"/>
  <c r="J63" i="5"/>
  <c r="H63" i="5"/>
  <c r="R62" i="5"/>
  <c r="P62" i="5"/>
  <c r="N62" i="5"/>
  <c r="L62" i="5"/>
  <c r="J62" i="5"/>
  <c r="H62" i="5"/>
  <c r="R61" i="5"/>
  <c r="P61" i="5"/>
  <c r="N61" i="5"/>
  <c r="L61" i="5"/>
  <c r="J61" i="5"/>
  <c r="H61" i="5"/>
  <c r="R60" i="5"/>
  <c r="P60" i="5"/>
  <c r="N60" i="5"/>
  <c r="L60" i="5"/>
  <c r="J60" i="5"/>
  <c r="H60" i="5"/>
  <c r="R59" i="5"/>
  <c r="P59" i="5"/>
  <c r="N59" i="5"/>
  <c r="L59" i="5"/>
  <c r="J59" i="5"/>
  <c r="H59" i="5"/>
  <c r="R58" i="5"/>
  <c r="P58" i="5"/>
  <c r="N58" i="5"/>
  <c r="L58" i="5"/>
  <c r="J58" i="5"/>
  <c r="H58" i="5"/>
  <c r="R57" i="5"/>
  <c r="P57" i="5"/>
  <c r="N57" i="5"/>
  <c r="L57" i="5"/>
  <c r="J57" i="5"/>
  <c r="H57" i="5"/>
  <c r="R56" i="5"/>
  <c r="P56" i="5"/>
  <c r="N56" i="5"/>
  <c r="L56" i="5"/>
  <c r="J56" i="5"/>
  <c r="H56" i="5"/>
  <c r="R55" i="5"/>
  <c r="P55" i="5"/>
  <c r="N55" i="5"/>
  <c r="L55" i="5"/>
  <c r="J55" i="5"/>
  <c r="H55" i="5"/>
  <c r="R54" i="5"/>
  <c r="P54" i="5"/>
  <c r="N54" i="5"/>
  <c r="L54" i="5"/>
  <c r="J54" i="5"/>
  <c r="H54" i="5"/>
  <c r="R53" i="5"/>
  <c r="P53" i="5"/>
  <c r="N53" i="5"/>
  <c r="L53" i="5"/>
  <c r="J53" i="5"/>
  <c r="H53" i="5"/>
  <c r="R52" i="5"/>
  <c r="P52" i="5"/>
  <c r="N52" i="5"/>
  <c r="L52" i="5"/>
  <c r="J52" i="5"/>
  <c r="H52" i="5"/>
  <c r="R51" i="5"/>
  <c r="P51" i="5"/>
  <c r="N51" i="5"/>
  <c r="L51" i="5"/>
  <c r="J51" i="5"/>
  <c r="H51" i="5"/>
  <c r="R50" i="5"/>
  <c r="P50" i="5"/>
  <c r="K50" i="5"/>
  <c r="H50" i="5"/>
  <c r="O49" i="5"/>
  <c r="L49" i="5"/>
  <c r="G49" i="5"/>
  <c r="P48" i="5"/>
  <c r="K48" i="5"/>
  <c r="H48" i="5"/>
  <c r="O47" i="5"/>
  <c r="K47" i="5"/>
  <c r="N46" i="5"/>
  <c r="I46" i="5"/>
  <c r="J45" i="5"/>
  <c r="Q44" i="5"/>
  <c r="R43" i="5"/>
  <c r="M43" i="5"/>
  <c r="N42" i="5"/>
  <c r="I42" i="5"/>
  <c r="J41" i="5"/>
  <c r="Q40" i="5"/>
  <c r="R39" i="5"/>
  <c r="M39" i="5"/>
  <c r="N38" i="5"/>
  <c r="I38" i="5"/>
  <c r="J37" i="5"/>
  <c r="Q36" i="5"/>
  <c r="R35" i="5"/>
  <c r="N20" i="5"/>
  <c r="R17" i="5"/>
  <c r="L11" i="5"/>
  <c r="M50" i="5"/>
  <c r="J50" i="5"/>
  <c r="Q49" i="5"/>
  <c r="N49" i="5"/>
  <c r="I49" i="5"/>
  <c r="R48" i="5"/>
  <c r="M48" i="5"/>
  <c r="J48" i="5"/>
  <c r="Q47" i="5"/>
  <c r="J47" i="5"/>
  <c r="G47" i="5"/>
  <c r="H46" i="5"/>
  <c r="O45" i="5"/>
  <c r="P44" i="5"/>
  <c r="K44" i="5"/>
  <c r="L43" i="5"/>
  <c r="G43" i="5"/>
  <c r="H42" i="5"/>
  <c r="O41" i="5"/>
  <c r="P40" i="5"/>
  <c r="K40" i="5"/>
  <c r="L39" i="5"/>
  <c r="G39" i="5"/>
  <c r="H38" i="5"/>
  <c r="O37" i="5"/>
  <c r="P36" i="5"/>
  <c r="K36" i="5"/>
  <c r="R22" i="5"/>
  <c r="J20" i="5"/>
  <c r="M17" i="5"/>
  <c r="M10" i="5"/>
  <c r="M75" i="5"/>
  <c r="K75" i="5"/>
  <c r="I75" i="5"/>
  <c r="G75" i="5"/>
  <c r="Q74" i="5"/>
  <c r="O74" i="5"/>
  <c r="M74" i="5"/>
  <c r="K74" i="5"/>
  <c r="I74" i="5"/>
  <c r="G74" i="5"/>
  <c r="Q73" i="5"/>
  <c r="O73" i="5"/>
  <c r="M73" i="5"/>
  <c r="K73" i="5"/>
  <c r="I73" i="5"/>
  <c r="G73" i="5"/>
  <c r="Q72" i="5"/>
  <c r="O72" i="5"/>
  <c r="M72" i="5"/>
  <c r="K72" i="5"/>
  <c r="I72" i="5"/>
  <c r="G72" i="5"/>
  <c r="Q71" i="5"/>
  <c r="O71" i="5"/>
  <c r="M71" i="5"/>
  <c r="K71" i="5"/>
  <c r="I71" i="5"/>
  <c r="G71" i="5"/>
  <c r="Q70" i="5"/>
  <c r="O70" i="5"/>
  <c r="M70" i="5"/>
  <c r="K70" i="5"/>
  <c r="I70" i="5"/>
  <c r="G70" i="5"/>
  <c r="Q69" i="5"/>
  <c r="O69" i="5"/>
  <c r="M69" i="5"/>
  <c r="K69" i="5"/>
  <c r="I69" i="5"/>
  <c r="G69" i="5"/>
  <c r="Q68" i="5"/>
  <c r="O68" i="5"/>
  <c r="M68" i="5"/>
  <c r="K68" i="5"/>
  <c r="I68" i="5"/>
  <c r="G68" i="5"/>
  <c r="Q67" i="5"/>
  <c r="O67" i="5"/>
  <c r="M67" i="5"/>
  <c r="K67" i="5"/>
  <c r="I67" i="5"/>
  <c r="G67" i="5"/>
  <c r="Q66" i="5"/>
  <c r="O66" i="5"/>
  <c r="M66" i="5"/>
  <c r="K66" i="5"/>
  <c r="I66" i="5"/>
  <c r="G66" i="5"/>
  <c r="Q65" i="5"/>
  <c r="O65" i="5"/>
  <c r="M65" i="5"/>
  <c r="K65" i="5"/>
  <c r="I65" i="5"/>
  <c r="G65" i="5"/>
  <c r="Q64" i="5"/>
  <c r="O64" i="5"/>
  <c r="M64" i="5"/>
  <c r="K64" i="5"/>
  <c r="I64" i="5"/>
  <c r="G64" i="5"/>
  <c r="Q63" i="5"/>
  <c r="O63" i="5"/>
  <c r="M63" i="5"/>
  <c r="K63" i="5"/>
  <c r="I63" i="5"/>
  <c r="G63" i="5"/>
  <c r="Q62" i="5"/>
  <c r="O62" i="5"/>
  <c r="M62" i="5"/>
  <c r="K62" i="5"/>
  <c r="I62" i="5"/>
  <c r="G62" i="5"/>
  <c r="Q61" i="5"/>
  <c r="O61" i="5"/>
  <c r="M61" i="5"/>
  <c r="K61" i="5"/>
  <c r="I61" i="5"/>
  <c r="G61" i="5"/>
  <c r="Q60" i="5"/>
  <c r="O60" i="5"/>
  <c r="M60" i="5"/>
  <c r="K60" i="5"/>
  <c r="I60" i="5"/>
  <c r="G60" i="5"/>
  <c r="Q59" i="5"/>
  <c r="O59" i="5"/>
  <c r="M59" i="5"/>
  <c r="K59" i="5"/>
  <c r="I59" i="5"/>
  <c r="G59" i="5"/>
  <c r="Q58" i="5"/>
  <c r="O58" i="5"/>
  <c r="M58" i="5"/>
  <c r="K58" i="5"/>
  <c r="I58" i="5"/>
  <c r="G58" i="5"/>
  <c r="Q57" i="5"/>
  <c r="O57" i="5"/>
  <c r="M57" i="5"/>
  <c r="K57" i="5"/>
  <c r="I57" i="5"/>
  <c r="G57" i="5"/>
  <c r="Q56" i="5"/>
  <c r="O56" i="5"/>
  <c r="M56" i="5"/>
  <c r="K56" i="5"/>
  <c r="I56" i="5"/>
  <c r="G56" i="5"/>
  <c r="Q55" i="5"/>
  <c r="O55" i="5"/>
  <c r="M55" i="5"/>
  <c r="K55" i="5"/>
  <c r="I55" i="5"/>
  <c r="G55" i="5"/>
  <c r="Q54" i="5"/>
  <c r="O54" i="5"/>
  <c r="M54" i="5"/>
  <c r="K54" i="5"/>
  <c r="I54" i="5"/>
  <c r="G54" i="5"/>
  <c r="Q53" i="5"/>
  <c r="O53" i="5"/>
  <c r="M53" i="5"/>
  <c r="K53" i="5"/>
  <c r="I53" i="5"/>
  <c r="G53" i="5"/>
  <c r="Q52" i="5"/>
  <c r="O52" i="5"/>
  <c r="M52" i="5"/>
  <c r="K52" i="5"/>
  <c r="I52" i="5"/>
  <c r="G52" i="5"/>
  <c r="Q51" i="5"/>
  <c r="O51" i="5"/>
  <c r="M51" i="5"/>
  <c r="K51" i="5"/>
  <c r="I51" i="5"/>
  <c r="G51" i="5"/>
  <c r="Q50" i="5"/>
  <c r="O50" i="5"/>
  <c r="L50" i="5"/>
  <c r="G50" i="5"/>
  <c r="P49" i="5"/>
  <c r="K49" i="5"/>
  <c r="H49" i="5"/>
  <c r="O48" i="5"/>
  <c r="L48" i="5"/>
  <c r="G48" i="5"/>
  <c r="P47" i="5"/>
  <c r="M47" i="5"/>
  <c r="Q46" i="5"/>
  <c r="R45" i="5"/>
  <c r="M45" i="5"/>
  <c r="N44" i="5"/>
  <c r="I44" i="5"/>
  <c r="J43" i="5"/>
  <c r="Q42" i="5"/>
  <c r="R41" i="5"/>
  <c r="M41" i="5"/>
  <c r="N40" i="5"/>
  <c r="I40" i="5"/>
  <c r="J39" i="5"/>
  <c r="Q38" i="5"/>
  <c r="R37" i="5"/>
  <c r="M37" i="5"/>
  <c r="N36" i="5"/>
  <c r="I36" i="5"/>
  <c r="R21" i="5"/>
  <c r="J19" i="5"/>
  <c r="N47" i="5"/>
  <c r="I47" i="5"/>
  <c r="R46" i="5"/>
  <c r="M46" i="5"/>
  <c r="J46" i="5"/>
  <c r="Q45" i="5"/>
  <c r="N45" i="5"/>
  <c r="I45" i="5"/>
  <c r="R44" i="5"/>
  <c r="M44" i="5"/>
  <c r="J44" i="5"/>
  <c r="Q43" i="5"/>
  <c r="N43" i="5"/>
  <c r="I43" i="5"/>
  <c r="R42" i="5"/>
  <c r="M42" i="5"/>
  <c r="J42" i="5"/>
  <c r="Q41" i="5"/>
  <c r="N41" i="5"/>
  <c r="I41" i="5"/>
  <c r="R40" i="5"/>
  <c r="M40" i="5"/>
  <c r="J40" i="5"/>
  <c r="Q39" i="5"/>
  <c r="N39" i="5"/>
  <c r="I39" i="5"/>
  <c r="R38" i="5"/>
  <c r="M38" i="5"/>
  <c r="J38" i="5"/>
  <c r="Q37" i="5"/>
  <c r="N37" i="5"/>
  <c r="I37" i="5"/>
  <c r="R36" i="5"/>
  <c r="M36" i="5"/>
  <c r="J36" i="5"/>
  <c r="Q35" i="5"/>
  <c r="N22" i="5"/>
  <c r="J21" i="5"/>
  <c r="R19" i="5"/>
  <c r="N18" i="5"/>
  <c r="P16" i="5"/>
  <c r="I13" i="5"/>
  <c r="H6" i="5"/>
  <c r="O46" i="5"/>
  <c r="L46" i="5"/>
  <c r="G46" i="5"/>
  <c r="P45" i="5"/>
  <c r="K45" i="5"/>
  <c r="H45" i="5"/>
  <c r="O44" i="5"/>
  <c r="L44" i="5"/>
  <c r="G44" i="5"/>
  <c r="P43" i="5"/>
  <c r="K43" i="5"/>
  <c r="H43" i="5"/>
  <c r="O42" i="5"/>
  <c r="L42" i="5"/>
  <c r="G42" i="5"/>
  <c r="P41" i="5"/>
  <c r="K41" i="5"/>
  <c r="H41" i="5"/>
  <c r="O40" i="5"/>
  <c r="L40" i="5"/>
  <c r="G40" i="5"/>
  <c r="P39" i="5"/>
  <c r="K39" i="5"/>
  <c r="H39" i="5"/>
  <c r="O38" i="5"/>
  <c r="L38" i="5"/>
  <c r="G38" i="5"/>
  <c r="P37" i="5"/>
  <c r="K37" i="5"/>
  <c r="H37" i="5"/>
  <c r="O36" i="5"/>
  <c r="L36" i="5"/>
  <c r="G36" i="5"/>
  <c r="P35" i="5"/>
  <c r="J22" i="5"/>
  <c r="R20" i="5"/>
  <c r="N19" i="5"/>
  <c r="J18" i="5"/>
  <c r="Q15" i="5"/>
  <c r="P8" i="5"/>
  <c r="I5" i="5"/>
  <c r="Q7" i="5"/>
  <c r="M35" i="5"/>
  <c r="K35" i="5"/>
  <c r="I35" i="5"/>
  <c r="G35" i="5"/>
  <c r="Q34" i="5"/>
  <c r="O34" i="5"/>
  <c r="M34" i="5"/>
  <c r="K34" i="5"/>
  <c r="I34" i="5"/>
  <c r="G34" i="5"/>
  <c r="Q33" i="5"/>
  <c r="O33" i="5"/>
  <c r="M33" i="5"/>
  <c r="K33" i="5"/>
  <c r="I33" i="5"/>
  <c r="G33" i="5"/>
  <c r="Q32" i="5"/>
  <c r="O32" i="5"/>
  <c r="M32" i="5"/>
  <c r="K32" i="5"/>
  <c r="I32" i="5"/>
  <c r="G32" i="5"/>
  <c r="Q31" i="5"/>
  <c r="O31" i="5"/>
  <c r="M31" i="5"/>
  <c r="K31" i="5"/>
  <c r="I31" i="5"/>
  <c r="G31" i="5"/>
  <c r="Q30" i="5"/>
  <c r="O30" i="5"/>
  <c r="M30" i="5"/>
  <c r="K30" i="5"/>
  <c r="I30" i="5"/>
  <c r="G30" i="5"/>
  <c r="Q29" i="5"/>
  <c r="O29" i="5"/>
  <c r="M29" i="5"/>
  <c r="K29" i="5"/>
  <c r="I29" i="5"/>
  <c r="G29" i="5"/>
  <c r="Q28" i="5"/>
  <c r="O28" i="5"/>
  <c r="M28" i="5"/>
  <c r="K28" i="5"/>
  <c r="I28" i="5"/>
  <c r="G28" i="5"/>
  <c r="Q27" i="5"/>
  <c r="O27" i="5"/>
  <c r="M27" i="5"/>
  <c r="K27" i="5"/>
  <c r="I27" i="5"/>
  <c r="G27" i="5"/>
  <c r="Q26" i="5"/>
  <c r="O26" i="5"/>
  <c r="M26" i="5"/>
  <c r="K26" i="5"/>
  <c r="I26" i="5"/>
  <c r="G26" i="5"/>
  <c r="Q25" i="5"/>
  <c r="O25" i="5"/>
  <c r="M25" i="5"/>
  <c r="K25" i="5"/>
  <c r="I25" i="5"/>
  <c r="G25" i="5"/>
  <c r="Q24" i="5"/>
  <c r="O24" i="5"/>
  <c r="M24" i="5"/>
  <c r="K24" i="5"/>
  <c r="I24" i="5"/>
  <c r="G24" i="5"/>
  <c r="Q23" i="5"/>
  <c r="O23" i="5"/>
  <c r="M23" i="5"/>
  <c r="K23" i="5"/>
  <c r="I23" i="5"/>
  <c r="Q22" i="5"/>
  <c r="M22" i="5"/>
  <c r="I22" i="5"/>
  <c r="Q21" i="5"/>
  <c r="M21" i="5"/>
  <c r="I21" i="5"/>
  <c r="Q20" i="5"/>
  <c r="M20" i="5"/>
  <c r="I20" i="5"/>
  <c r="Q19" i="5"/>
  <c r="M19" i="5"/>
  <c r="I19" i="5"/>
  <c r="Q18" i="5"/>
  <c r="M18" i="5"/>
  <c r="I18" i="5"/>
  <c r="Q17" i="5"/>
  <c r="K17" i="5"/>
  <c r="M16" i="5"/>
  <c r="P14" i="5"/>
  <c r="Q13" i="5"/>
  <c r="H12" i="5"/>
  <c r="I11" i="5"/>
  <c r="L9" i="5"/>
  <c r="M8" i="5"/>
  <c r="P6" i="5"/>
  <c r="Q5" i="5"/>
  <c r="H4" i="5"/>
  <c r="H23" i="5"/>
  <c r="P22" i="5"/>
  <c r="L22" i="5"/>
  <c r="H22" i="5"/>
  <c r="P21" i="5"/>
  <c r="L21" i="5"/>
  <c r="H21" i="5"/>
  <c r="P20" i="5"/>
  <c r="L20" i="5"/>
  <c r="H20" i="5"/>
  <c r="P19" i="5"/>
  <c r="L19" i="5"/>
  <c r="H19" i="5"/>
  <c r="P18" i="5"/>
  <c r="L18" i="5"/>
  <c r="H18" i="5"/>
  <c r="P17" i="5"/>
  <c r="I17" i="5"/>
  <c r="L15" i="5"/>
  <c r="M14" i="5"/>
  <c r="P12" i="5"/>
  <c r="Q11" i="5"/>
  <c r="H10" i="5"/>
  <c r="I9" i="5"/>
  <c r="L7" i="5"/>
  <c r="M6" i="5"/>
  <c r="P4" i="5"/>
  <c r="P3" i="5"/>
  <c r="N35" i="5"/>
  <c r="L35" i="5"/>
  <c r="J35" i="5"/>
  <c r="H35" i="5"/>
  <c r="R34" i="5"/>
  <c r="P34" i="5"/>
  <c r="N34" i="5"/>
  <c r="L34" i="5"/>
  <c r="J34" i="5"/>
  <c r="H34" i="5"/>
  <c r="R33" i="5"/>
  <c r="P33" i="5"/>
  <c r="N33" i="5"/>
  <c r="L33" i="5"/>
  <c r="J33" i="5"/>
  <c r="H33" i="5"/>
  <c r="R32" i="5"/>
  <c r="P32" i="5"/>
  <c r="N32" i="5"/>
  <c r="L32" i="5"/>
  <c r="J32" i="5"/>
  <c r="H32" i="5"/>
  <c r="R31" i="5"/>
  <c r="P31" i="5"/>
  <c r="N31" i="5"/>
  <c r="L31" i="5"/>
  <c r="J31" i="5"/>
  <c r="H31" i="5"/>
  <c r="R30" i="5"/>
  <c r="P30" i="5"/>
  <c r="N30" i="5"/>
  <c r="L30" i="5"/>
  <c r="J30" i="5"/>
  <c r="H30" i="5"/>
  <c r="R29" i="5"/>
  <c r="P29" i="5"/>
  <c r="N29" i="5"/>
  <c r="L29" i="5"/>
  <c r="J29" i="5"/>
  <c r="H29" i="5"/>
  <c r="R28" i="5"/>
  <c r="P28" i="5"/>
  <c r="N28" i="5"/>
  <c r="L28" i="5"/>
  <c r="J28" i="5"/>
  <c r="H28" i="5"/>
  <c r="R27" i="5"/>
  <c r="P27" i="5"/>
  <c r="N27" i="5"/>
  <c r="L27" i="5"/>
  <c r="J27" i="5"/>
  <c r="H27" i="5"/>
  <c r="R26" i="5"/>
  <c r="P26" i="5"/>
  <c r="N26" i="5"/>
  <c r="L26" i="5"/>
  <c r="J26" i="5"/>
  <c r="H26" i="5"/>
  <c r="R25" i="5"/>
  <c r="P25" i="5"/>
  <c r="N25" i="5"/>
  <c r="L25" i="5"/>
  <c r="J25" i="5"/>
  <c r="H25" i="5"/>
  <c r="R24" i="5"/>
  <c r="P24" i="5"/>
  <c r="N24" i="5"/>
  <c r="L24" i="5"/>
  <c r="J24" i="5"/>
  <c r="H24" i="5"/>
  <c r="R23" i="5"/>
  <c r="P23" i="5"/>
  <c r="N23" i="5"/>
  <c r="L23" i="5"/>
  <c r="J23" i="5"/>
  <c r="G23" i="5"/>
  <c r="O22" i="5"/>
  <c r="K22" i="5"/>
  <c r="G22" i="5"/>
  <c r="O21" i="5"/>
  <c r="K21" i="5"/>
  <c r="G21" i="5"/>
  <c r="O20" i="5"/>
  <c r="K20" i="5"/>
  <c r="G20" i="5"/>
  <c r="O19" i="5"/>
  <c r="K19" i="5"/>
  <c r="G19" i="5"/>
  <c r="O18" i="5"/>
  <c r="K18" i="5"/>
  <c r="G18" i="5"/>
  <c r="O17" i="5"/>
  <c r="H16" i="5"/>
  <c r="I15" i="5"/>
  <c r="L13" i="5"/>
  <c r="M12" i="5"/>
  <c r="P10" i="5"/>
  <c r="Q9" i="5"/>
  <c r="H8" i="5"/>
  <c r="I7" i="5"/>
  <c r="L5" i="5"/>
  <c r="M4" i="5"/>
  <c r="L3" i="5"/>
  <c r="R16" i="5"/>
  <c r="O16" i="5"/>
  <c r="J16" i="5"/>
  <c r="G16" i="5"/>
  <c r="N15" i="5"/>
  <c r="K15" i="5"/>
  <c r="R14" i="5"/>
  <c r="O14" i="5"/>
  <c r="J14" i="5"/>
  <c r="G14" i="5"/>
  <c r="N13" i="5"/>
  <c r="K13" i="5"/>
  <c r="R12" i="5"/>
  <c r="O12" i="5"/>
  <c r="J12" i="5"/>
  <c r="G12" i="5"/>
  <c r="N11" i="5"/>
  <c r="K11" i="5"/>
  <c r="R10" i="5"/>
  <c r="O10" i="5"/>
  <c r="J10" i="5"/>
  <c r="G10" i="5"/>
  <c r="N9" i="5"/>
  <c r="K9" i="5"/>
  <c r="R8" i="5"/>
  <c r="O8" i="5"/>
  <c r="J8" i="5"/>
  <c r="G8" i="5"/>
  <c r="N7" i="5"/>
  <c r="K7" i="5"/>
  <c r="R6" i="5"/>
  <c r="O6" i="5"/>
  <c r="J6" i="5"/>
  <c r="G6" i="5"/>
  <c r="N5" i="5"/>
  <c r="K5" i="5"/>
  <c r="R4" i="5"/>
  <c r="O4" i="5"/>
  <c r="J4" i="5"/>
  <c r="N17" i="5"/>
  <c r="L17" i="5"/>
  <c r="J17" i="5"/>
  <c r="H17" i="5"/>
  <c r="Q16" i="5"/>
  <c r="L16" i="5"/>
  <c r="I16" i="5"/>
  <c r="P15" i="5"/>
  <c r="M15" i="5"/>
  <c r="H15" i="5"/>
  <c r="Q14" i="5"/>
  <c r="L14" i="5"/>
  <c r="I14" i="5"/>
  <c r="P13" i="5"/>
  <c r="M13" i="5"/>
  <c r="H13" i="5"/>
  <c r="Q12" i="5"/>
  <c r="L12" i="5"/>
  <c r="I12" i="5"/>
  <c r="P11" i="5"/>
  <c r="M11" i="5"/>
  <c r="H11" i="5"/>
  <c r="Q10" i="5"/>
  <c r="L10" i="5"/>
  <c r="I10" i="5"/>
  <c r="P9" i="5"/>
  <c r="M9" i="5"/>
  <c r="H9" i="5"/>
  <c r="Q8" i="5"/>
  <c r="L8" i="5"/>
  <c r="I8" i="5"/>
  <c r="P7" i="5"/>
  <c r="M7" i="5"/>
  <c r="H7" i="5"/>
  <c r="Q6" i="5"/>
  <c r="L6" i="5"/>
  <c r="I6" i="5"/>
  <c r="P5" i="5"/>
  <c r="M5" i="5"/>
  <c r="H5" i="5"/>
  <c r="Q4" i="5"/>
  <c r="L4" i="5"/>
  <c r="I4" i="5"/>
  <c r="R3" i="5"/>
  <c r="N3" i="5"/>
  <c r="J3" i="5"/>
  <c r="G17" i="5"/>
  <c r="N16" i="5"/>
  <c r="K16" i="5"/>
  <c r="R15" i="5"/>
  <c r="O15" i="5"/>
  <c r="J15" i="5"/>
  <c r="G15" i="5"/>
  <c r="N14" i="5"/>
  <c r="K14" i="5"/>
  <c r="R13" i="5"/>
  <c r="O13" i="5"/>
  <c r="J13" i="5"/>
  <c r="G13" i="5"/>
  <c r="N12" i="5"/>
  <c r="K12" i="5"/>
  <c r="R11" i="5"/>
  <c r="O11" i="5"/>
  <c r="J11" i="5"/>
  <c r="G11" i="5"/>
  <c r="N10" i="5"/>
  <c r="K10" i="5"/>
  <c r="R9" i="5"/>
  <c r="O9" i="5"/>
  <c r="J9" i="5"/>
  <c r="G9" i="5"/>
  <c r="N8" i="5"/>
  <c r="K8" i="5"/>
  <c r="R7" i="5"/>
  <c r="O7" i="5"/>
  <c r="J7" i="5"/>
  <c r="G7" i="5"/>
  <c r="N6" i="5"/>
  <c r="K6" i="5"/>
  <c r="R5" i="5"/>
  <c r="O5" i="5"/>
  <c r="J5" i="5"/>
  <c r="G5" i="5"/>
  <c r="N4" i="5"/>
  <c r="K4" i="5"/>
  <c r="H3" i="5"/>
  <c r="G4" i="5"/>
  <c r="Q3" i="5"/>
  <c r="O3" i="5"/>
  <c r="M3" i="5"/>
  <c r="K3" i="5"/>
  <c r="I3" i="5"/>
  <c r="G3" i="5"/>
  <c r="K2" i="5"/>
  <c r="R2" i="5"/>
  <c r="P2" i="5"/>
  <c r="N2" i="5"/>
  <c r="L2" i="5"/>
  <c r="J2" i="5"/>
  <c r="Q2" i="5"/>
  <c r="O2" i="5"/>
  <c r="M2" i="5"/>
  <c r="I2" i="5"/>
  <c r="H2" i="5"/>
  <c r="G2" i="5"/>
  <c r="C154" i="5"/>
  <c r="C152" i="5"/>
  <c r="C150" i="5"/>
  <c r="C148" i="5"/>
  <c r="C146" i="5"/>
  <c r="C144" i="5"/>
  <c r="C142" i="5"/>
  <c r="C140" i="5"/>
  <c r="C138" i="5"/>
  <c r="C136" i="5"/>
  <c r="C134" i="5"/>
  <c r="C132" i="5"/>
  <c r="C130" i="5"/>
  <c r="C128" i="5"/>
  <c r="C126" i="5"/>
  <c r="C124" i="5"/>
  <c r="C122" i="5"/>
  <c r="C120" i="5"/>
  <c r="C118" i="5"/>
  <c r="C116" i="5"/>
  <c r="C114" i="5"/>
  <c r="C112" i="5"/>
  <c r="C110" i="5"/>
  <c r="C108" i="5"/>
  <c r="C106" i="5"/>
  <c r="C104" i="5"/>
  <c r="C102" i="5"/>
  <c r="C100" i="5"/>
  <c r="C98" i="5"/>
  <c r="C96" i="5"/>
  <c r="C94" i="5"/>
  <c r="C92" i="5"/>
  <c r="C90" i="5"/>
  <c r="C88" i="5"/>
  <c r="C86" i="5"/>
  <c r="C84" i="5"/>
  <c r="C82" i="5"/>
  <c r="C80" i="5"/>
  <c r="C78" i="5"/>
  <c r="C76" i="5"/>
  <c r="C74" i="5"/>
  <c r="C72" i="5"/>
  <c r="C70" i="5"/>
  <c r="C68" i="5"/>
  <c r="C66" i="5"/>
  <c r="C64" i="5"/>
  <c r="C62" i="5"/>
  <c r="C60" i="5"/>
  <c r="C58" i="5"/>
  <c r="C56" i="5"/>
  <c r="C54" i="5"/>
  <c r="C52" i="5"/>
  <c r="C50" i="5"/>
  <c r="C48" i="5"/>
  <c r="C46" i="5"/>
  <c r="C44" i="5"/>
  <c r="C42" i="5"/>
  <c r="C40" i="5"/>
  <c r="C38" i="5"/>
  <c r="C36" i="5"/>
  <c r="C34" i="5"/>
  <c r="C32" i="5"/>
  <c r="C30" i="5"/>
  <c r="C28" i="5"/>
  <c r="C26" i="5"/>
  <c r="C24" i="5"/>
  <c r="C22" i="5"/>
  <c r="C20" i="5"/>
  <c r="C18" i="5"/>
  <c r="C16" i="5"/>
  <c r="C14" i="5"/>
  <c r="C12" i="5"/>
  <c r="C10" i="5"/>
  <c r="C8" i="5"/>
  <c r="C6" i="5"/>
  <c r="C4" i="5"/>
  <c r="C2" i="5"/>
  <c r="D160" i="3" l="1"/>
  <c r="D158" i="3"/>
  <c r="D156" i="3"/>
  <c r="D154" i="3"/>
  <c r="D152" i="3"/>
  <c r="D150" i="3"/>
  <c r="D148" i="3"/>
  <c r="D146" i="3"/>
  <c r="D144" i="3"/>
  <c r="D142" i="3"/>
  <c r="D140" i="3"/>
  <c r="D138" i="3"/>
  <c r="D136" i="3"/>
  <c r="D134" i="3"/>
  <c r="D132" i="3"/>
  <c r="D130" i="3"/>
  <c r="D128" i="3"/>
  <c r="D126" i="3"/>
  <c r="D124" i="3"/>
  <c r="D122" i="3"/>
  <c r="D120" i="3"/>
  <c r="D118" i="3"/>
  <c r="D116" i="3"/>
  <c r="D114" i="3"/>
  <c r="D112" i="3"/>
  <c r="D110" i="3"/>
  <c r="D108" i="3"/>
  <c r="D106" i="3"/>
  <c r="D104" i="3"/>
  <c r="D102" i="3"/>
  <c r="D100" i="3"/>
  <c r="D98" i="3"/>
  <c r="D96" i="3"/>
  <c r="D94" i="3"/>
  <c r="D92" i="3"/>
  <c r="D90" i="3"/>
  <c r="D88" i="3"/>
  <c r="D86" i="3"/>
  <c r="D84" i="3"/>
  <c r="D82" i="3"/>
  <c r="D80" i="3"/>
  <c r="D78" i="3"/>
  <c r="D76" i="3"/>
  <c r="D74" i="3"/>
  <c r="D72" i="3"/>
  <c r="D70" i="3"/>
  <c r="D68" i="3"/>
  <c r="D66" i="3"/>
  <c r="D64" i="3"/>
  <c r="D62" i="3"/>
  <c r="D60" i="3"/>
  <c r="D58" i="3"/>
  <c r="D56" i="3"/>
  <c r="D54" i="3"/>
  <c r="D52" i="3"/>
  <c r="D50" i="3"/>
  <c r="D48" i="3"/>
  <c r="D46" i="3"/>
  <c r="D44" i="3"/>
  <c r="D42" i="3"/>
  <c r="D40" i="3"/>
  <c r="D38" i="3"/>
  <c r="D36" i="3"/>
  <c r="D34" i="3"/>
  <c r="D32" i="3"/>
  <c r="D30" i="3"/>
  <c r="D28" i="3"/>
  <c r="D26" i="3"/>
  <c r="D24" i="3"/>
  <c r="D22" i="3"/>
  <c r="D20" i="3"/>
  <c r="D18" i="3"/>
  <c r="D16" i="3"/>
  <c r="D14" i="3"/>
  <c r="D12" i="3"/>
  <c r="D10" i="3"/>
  <c r="D8" i="3"/>
  <c r="D6" i="3"/>
  <c r="D4" i="3"/>
  <c r="D2" i="3"/>
  <c r="D154" i="2"/>
  <c r="D152" i="2"/>
  <c r="D150" i="2"/>
  <c r="D148" i="2"/>
  <c r="D146" i="2"/>
  <c r="D144" i="2"/>
  <c r="D142" i="2"/>
  <c r="D140" i="2"/>
  <c r="D138" i="2"/>
  <c r="D136" i="2"/>
  <c r="D134" i="2"/>
  <c r="D132" i="2"/>
  <c r="D130" i="2"/>
  <c r="D128" i="2"/>
  <c r="D126" i="2"/>
  <c r="D124" i="2"/>
  <c r="D122" i="2"/>
  <c r="D120" i="2"/>
  <c r="D118" i="2"/>
  <c r="D116" i="2"/>
  <c r="D114" i="2"/>
  <c r="D112" i="2"/>
  <c r="D110" i="2"/>
  <c r="D108" i="2"/>
  <c r="D106" i="2"/>
  <c r="D104" i="2"/>
  <c r="D102" i="2"/>
  <c r="D100" i="2"/>
  <c r="D98" i="2"/>
  <c r="D96" i="2"/>
  <c r="D94" i="2"/>
  <c r="D92" i="2"/>
  <c r="D90" i="2"/>
  <c r="D88" i="2"/>
  <c r="D86" i="2"/>
  <c r="D84" i="2"/>
  <c r="D82" i="2"/>
  <c r="D80" i="2"/>
  <c r="D78" i="2"/>
  <c r="D76" i="2"/>
  <c r="D74" i="2"/>
  <c r="D72" i="2"/>
  <c r="D70" i="2"/>
  <c r="D68" i="2"/>
  <c r="D66" i="2"/>
  <c r="D64" i="2"/>
  <c r="D62" i="2"/>
  <c r="D60" i="2"/>
  <c r="D58" i="2"/>
  <c r="D56" i="2"/>
  <c r="D54" i="2"/>
  <c r="D52" i="2"/>
  <c r="D50" i="2"/>
  <c r="D48" i="2"/>
  <c r="D46" i="2"/>
  <c r="D44" i="2"/>
  <c r="D42" i="2"/>
  <c r="D40" i="2"/>
  <c r="D38" i="2"/>
  <c r="D36" i="2"/>
  <c r="D34" i="2"/>
  <c r="D32" i="2"/>
  <c r="D30" i="2"/>
  <c r="D28" i="2"/>
  <c r="D26" i="2"/>
  <c r="D24" i="2"/>
  <c r="D22" i="2"/>
  <c r="D20" i="2"/>
  <c r="D18" i="2"/>
  <c r="D16" i="2"/>
  <c r="D14" i="2"/>
  <c r="D12" i="2"/>
  <c r="D10" i="2"/>
  <c r="D8" i="2"/>
  <c r="D6" i="2"/>
  <c r="D4" i="2"/>
  <c r="D2" i="2"/>
  <c r="L81" i="1"/>
  <c r="H81" i="1"/>
  <c r="D81" i="1"/>
  <c r="L80" i="1"/>
  <c r="H80" i="1"/>
  <c r="D80" i="1"/>
  <c r="L79" i="1"/>
  <c r="H79" i="1"/>
  <c r="D79" i="1"/>
  <c r="L78" i="1"/>
  <c r="H78" i="1"/>
  <c r="D78" i="1"/>
  <c r="L77" i="1"/>
  <c r="H77" i="1"/>
  <c r="D77" i="1"/>
  <c r="L76" i="1"/>
  <c r="H76" i="1"/>
  <c r="D76" i="1"/>
  <c r="L75" i="1"/>
  <c r="H75" i="1"/>
  <c r="D75" i="1"/>
  <c r="L74" i="1"/>
  <c r="H74" i="1"/>
  <c r="D74" i="1"/>
  <c r="L73" i="1"/>
  <c r="H73" i="1"/>
  <c r="D73" i="1"/>
  <c r="L72" i="1"/>
  <c r="H72" i="1"/>
  <c r="D72" i="1"/>
  <c r="L71" i="1"/>
  <c r="H71" i="1"/>
  <c r="D71" i="1"/>
  <c r="L70" i="1"/>
  <c r="H70" i="1"/>
  <c r="D70" i="1"/>
  <c r="L69" i="1"/>
  <c r="H69" i="1"/>
  <c r="D69" i="1"/>
  <c r="L68" i="1"/>
  <c r="H68" i="1"/>
  <c r="D68" i="1"/>
  <c r="L67" i="1"/>
  <c r="H67" i="1"/>
  <c r="D67" i="1"/>
  <c r="L66" i="1"/>
  <c r="H66" i="1"/>
  <c r="D66" i="1"/>
  <c r="L65" i="1"/>
  <c r="H65" i="1"/>
  <c r="D65" i="1"/>
  <c r="L64" i="1"/>
  <c r="H64" i="1"/>
  <c r="D64" i="1"/>
  <c r="L63" i="1"/>
  <c r="H63" i="1"/>
  <c r="D63" i="1"/>
  <c r="L62" i="1"/>
  <c r="H62" i="1"/>
  <c r="D62" i="1"/>
  <c r="L61" i="1"/>
  <c r="H61" i="1"/>
  <c r="D61" i="1"/>
  <c r="L60" i="1"/>
  <c r="H60" i="1"/>
  <c r="D60" i="1"/>
  <c r="L59" i="1"/>
  <c r="H59" i="1"/>
  <c r="D59" i="1"/>
  <c r="L58" i="1"/>
  <c r="H58" i="1"/>
  <c r="D58" i="1"/>
  <c r="L57" i="1"/>
  <c r="H57" i="1"/>
  <c r="D57" i="1"/>
  <c r="L56" i="1"/>
  <c r="H56" i="1"/>
  <c r="D56" i="1"/>
  <c r="L55" i="1"/>
  <c r="H55" i="1"/>
  <c r="D55" i="1"/>
  <c r="L54" i="1"/>
  <c r="H54" i="1"/>
  <c r="D54" i="1"/>
  <c r="L53" i="1"/>
  <c r="H53" i="1"/>
  <c r="D53" i="1"/>
  <c r="L52" i="1"/>
  <c r="H52" i="1"/>
  <c r="D52" i="1"/>
  <c r="L51" i="1"/>
  <c r="H51" i="1"/>
  <c r="D51" i="1"/>
  <c r="L50" i="1"/>
  <c r="H50" i="1"/>
  <c r="D50" i="1"/>
  <c r="L49" i="1"/>
  <c r="H49" i="1"/>
  <c r="D49" i="1"/>
  <c r="L48" i="1"/>
  <c r="H48" i="1"/>
  <c r="D48" i="1"/>
  <c r="L47" i="1"/>
  <c r="H47" i="1"/>
  <c r="D47" i="1"/>
  <c r="L46" i="1"/>
  <c r="H46" i="1"/>
  <c r="D46" i="1"/>
  <c r="L45" i="1"/>
  <c r="H45" i="1"/>
  <c r="D45" i="1"/>
  <c r="L44" i="1"/>
  <c r="H44" i="1"/>
  <c r="D44" i="1"/>
  <c r="L43" i="1"/>
  <c r="H43" i="1"/>
  <c r="D43" i="1"/>
  <c r="L42" i="1"/>
  <c r="H42" i="1"/>
  <c r="D42" i="1"/>
  <c r="L41" i="1"/>
  <c r="H41" i="1"/>
  <c r="D41" i="1"/>
  <c r="H40" i="1"/>
  <c r="D40" i="1"/>
  <c r="L39" i="1"/>
  <c r="H39" i="1"/>
  <c r="D39" i="1"/>
  <c r="L38" i="1"/>
  <c r="H38" i="1"/>
  <c r="D38" i="1"/>
  <c r="L37" i="1"/>
  <c r="H37" i="1"/>
  <c r="D37" i="1"/>
  <c r="H36" i="1"/>
  <c r="D36" i="1"/>
  <c r="L35" i="1"/>
  <c r="H35" i="1"/>
  <c r="D35" i="1"/>
  <c r="L34" i="1"/>
  <c r="H34" i="1"/>
  <c r="D34" i="1"/>
  <c r="L33" i="1"/>
  <c r="H33" i="1"/>
  <c r="D33" i="1"/>
  <c r="L32" i="1"/>
  <c r="H32" i="1"/>
  <c r="D32" i="1"/>
  <c r="L31" i="1"/>
  <c r="H31" i="1"/>
  <c r="D31" i="1"/>
  <c r="H30" i="1"/>
  <c r="D30" i="1"/>
  <c r="L29" i="1"/>
  <c r="H29" i="1"/>
  <c r="D29" i="1"/>
  <c r="L28" i="1"/>
  <c r="H28" i="1"/>
  <c r="D28" i="1"/>
  <c r="L27" i="1"/>
  <c r="H27" i="1"/>
  <c r="D27" i="1"/>
  <c r="L26" i="1"/>
  <c r="H26" i="1"/>
  <c r="D26" i="1"/>
  <c r="L25" i="1"/>
  <c r="H25" i="1"/>
  <c r="D25" i="1"/>
  <c r="L24" i="1"/>
  <c r="H24" i="1"/>
  <c r="D24" i="1"/>
  <c r="L23" i="1"/>
  <c r="H23" i="1"/>
  <c r="D23" i="1"/>
  <c r="H22" i="1"/>
  <c r="D22" i="1"/>
  <c r="L21" i="1"/>
  <c r="H21" i="1"/>
  <c r="D21" i="1"/>
  <c r="L20" i="1"/>
  <c r="H20" i="1"/>
  <c r="D20" i="1"/>
  <c r="L19" i="1"/>
  <c r="H19" i="1"/>
  <c r="D19" i="1"/>
  <c r="L18" i="1"/>
  <c r="H18" i="1"/>
  <c r="D18" i="1"/>
  <c r="L17" i="1"/>
  <c r="H17" i="1"/>
  <c r="D17" i="1"/>
  <c r="H16" i="1"/>
  <c r="D16" i="1"/>
  <c r="L15" i="1"/>
  <c r="H15" i="1"/>
  <c r="D15" i="1"/>
  <c r="L14" i="1"/>
  <c r="H14" i="1"/>
  <c r="D14" i="1"/>
  <c r="L13" i="1"/>
  <c r="H13" i="1"/>
  <c r="D13" i="1"/>
  <c r="L12" i="1"/>
  <c r="H12" i="1"/>
  <c r="D12" i="1"/>
  <c r="L11" i="1"/>
  <c r="H11" i="1"/>
  <c r="D11" i="1"/>
  <c r="L10" i="1"/>
  <c r="H10" i="1"/>
  <c r="D10" i="1"/>
  <c r="L9" i="1"/>
  <c r="H9" i="1"/>
  <c r="D9" i="1"/>
  <c r="L8" i="1"/>
  <c r="H8" i="1"/>
  <c r="D8" i="1"/>
  <c r="L7" i="1"/>
  <c r="H7" i="1"/>
  <c r="D7" i="1"/>
  <c r="L6" i="1"/>
  <c r="H6" i="1"/>
  <c r="D6" i="1"/>
  <c r="L5" i="1"/>
  <c r="H5" i="1"/>
  <c r="D5" i="1"/>
  <c r="L4" i="1"/>
  <c r="H4" i="1"/>
  <c r="D4" i="1"/>
  <c r="L3" i="1"/>
  <c r="H3" i="1"/>
  <c r="D3" i="1"/>
  <c r="L2" i="1"/>
  <c r="H2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<sst xmlns="http://schemas.openxmlformats.org/spreadsheetml/2006/main" count="5219" uniqueCount="421">
  <si>
    <t>魚類名稱</t>
  </si>
  <si>
    <t>8折</t>
  </si>
  <si>
    <t>正價</t>
  </si>
  <si>
    <t>蟲類名稱</t>
  </si>
  <si>
    <t>其他名稱</t>
  </si>
  <si>
    <t>紅目鯽</t>
  </si>
  <si>
    <t>白粉蝶</t>
  </si>
  <si>
    <t>自產水果</t>
  </si>
  <si>
    <t>溪哥</t>
  </si>
  <si>
    <t>斑緣點粉蝶</t>
  </si>
  <si>
    <t>非自產水果</t>
  </si>
  <si>
    <t>鯽魚</t>
  </si>
  <si>
    <t>鳳蝶</t>
  </si>
  <si>
    <t>椰子</t>
  </si>
  <si>
    <t>珠星三塊魚</t>
  </si>
  <si>
    <t>烏鴉鳳蝶</t>
  </si>
  <si>
    <t>竹筍</t>
  </si>
  <si>
    <t>鯉魚</t>
  </si>
  <si>
    <t>青帶鳳蝶</t>
  </si>
  <si>
    <t>竹子材料</t>
  </si>
  <si>
    <t>錦鯉</t>
  </si>
  <si>
    <t>大白斑蝶</t>
  </si>
  <si>
    <t>春筍</t>
  </si>
  <si>
    <t>金魚</t>
  </si>
  <si>
    <t>大紫蛺蝶</t>
  </si>
  <si>
    <t>蜂巢</t>
  </si>
  <si>
    <t>龍睛金魚</t>
  </si>
  <si>
    <t>大樺斑蝶</t>
  </si>
  <si>
    <t>橡栗</t>
  </si>
  <si>
    <t>藍壽金魚</t>
  </si>
  <si>
    <t>大藍閃蝶</t>
  </si>
  <si>
    <t>松果</t>
  </si>
  <si>
    <t>彩襖蛺蝶</t>
  </si>
  <si>
    <t>雜草</t>
  </si>
  <si>
    <t>淡水龍蝦</t>
  </si>
  <si>
    <t>紅頸鳳蝶</t>
  </si>
  <si>
    <t>樹枝</t>
  </si>
  <si>
    <t>鱉</t>
  </si>
  <si>
    <t>亞歷山大鳳蝶</t>
  </si>
  <si>
    <t>木材</t>
  </si>
  <si>
    <t>擬鱷龜</t>
  </si>
  <si>
    <t>飛蛾</t>
  </si>
  <si>
    <t>軟木材</t>
  </si>
  <si>
    <t>蝌蚪</t>
  </si>
  <si>
    <t>皇蛾</t>
  </si>
  <si>
    <t>硬木材</t>
  </si>
  <si>
    <t>日落娥</t>
  </si>
  <si>
    <t>塘鱧魚</t>
  </si>
  <si>
    <t>中華劍角蝗</t>
  </si>
  <si>
    <t>金礦石</t>
  </si>
  <si>
    <t>泥鰍</t>
  </si>
  <si>
    <t>飛蝗</t>
  </si>
  <si>
    <t>鐵礦石</t>
  </si>
  <si>
    <t>鯰魚</t>
  </si>
  <si>
    <t>稻蝗</t>
  </si>
  <si>
    <t>黏土</t>
  </si>
  <si>
    <t>蚱蜢</t>
  </si>
  <si>
    <t>石頭</t>
  </si>
  <si>
    <t>藍鰓太陽魚</t>
  </si>
  <si>
    <t>蟋蟀</t>
  </si>
  <si>
    <t>化石</t>
  </si>
  <si>
    <t>黃鱸魚</t>
  </si>
  <si>
    <t>鈴蟲</t>
  </si>
  <si>
    <t>黑鱸魚</t>
  </si>
  <si>
    <t>螳螂</t>
  </si>
  <si>
    <t>沙錢</t>
  </si>
  <si>
    <t>吳郭魚</t>
  </si>
  <si>
    <t>蘭花螳螂</t>
  </si>
  <si>
    <t>珊瑚</t>
  </si>
  <si>
    <t>白斑狗魚</t>
  </si>
  <si>
    <t>蜜蜂</t>
  </si>
  <si>
    <t>寶螺殼</t>
  </si>
  <si>
    <t>黃蜂</t>
  </si>
  <si>
    <t>扇貝殼</t>
  </si>
  <si>
    <t>香魚</t>
  </si>
  <si>
    <t>海螺殼</t>
  </si>
  <si>
    <t>櫻花鉤吻鮭</t>
  </si>
  <si>
    <t>骨螺殼</t>
  </si>
  <si>
    <t>花羔紅點鮭</t>
  </si>
  <si>
    <t>鐘螺殼</t>
  </si>
  <si>
    <t>金鱒</t>
  </si>
  <si>
    <t>寒蟬</t>
  </si>
  <si>
    <t>遠東哲羅魚</t>
  </si>
  <si>
    <t>蛤蜊</t>
  </si>
  <si>
    <t>鮭魚</t>
  </si>
  <si>
    <t>魚飼料</t>
  </si>
  <si>
    <t>帝王鮭</t>
  </si>
  <si>
    <t>紅蜻蜓</t>
  </si>
  <si>
    <t>輪胎</t>
  </si>
  <si>
    <t>中華絨螯蟹</t>
  </si>
  <si>
    <t>綠胸晏蜓</t>
  </si>
  <si>
    <t>長靴</t>
  </si>
  <si>
    <t>孔雀魚</t>
  </si>
  <si>
    <t>無霸勾蜓</t>
  </si>
  <si>
    <t>鐵罐</t>
  </si>
  <si>
    <t>溫泉醫生魚</t>
  </si>
  <si>
    <t>神仙魚</t>
  </si>
  <si>
    <t>菊花</t>
  </si>
  <si>
    <t>鬥魚</t>
  </si>
  <si>
    <t>螻蛄</t>
  </si>
  <si>
    <t>百合</t>
  </si>
  <si>
    <t>霓虹燈魚</t>
  </si>
  <si>
    <t>水黽</t>
  </si>
  <si>
    <t>波斯菊</t>
  </si>
  <si>
    <t>彩虹魚</t>
  </si>
  <si>
    <t>龍蝨</t>
  </si>
  <si>
    <t>食人魚</t>
  </si>
  <si>
    <t>田鱉</t>
  </si>
  <si>
    <t>骨舌魚</t>
  </si>
  <si>
    <t>椿象</t>
  </si>
  <si>
    <t>黃金河虎</t>
  </si>
  <si>
    <t>人面椿象</t>
  </si>
  <si>
    <t>雀鱔</t>
  </si>
  <si>
    <t>瓢蟲</t>
  </si>
  <si>
    <t>巨骨舌魚</t>
  </si>
  <si>
    <t>虎甲蟲</t>
  </si>
  <si>
    <t>恩氏多鰭魚</t>
  </si>
  <si>
    <t>吉丁蟲</t>
  </si>
  <si>
    <t>鱘魚</t>
  </si>
  <si>
    <t>提琴蟲</t>
  </si>
  <si>
    <t>海天使</t>
  </si>
  <si>
    <t>星天牛</t>
  </si>
  <si>
    <t>海馬</t>
  </si>
  <si>
    <t>琉璃星天牛</t>
  </si>
  <si>
    <t>小丑魚</t>
  </si>
  <si>
    <t>擬刺尾鯛</t>
  </si>
  <si>
    <t>耳帶蝴蝶魚</t>
  </si>
  <si>
    <t>雪隱金龜</t>
  </si>
  <si>
    <t>蘇眉魚</t>
  </si>
  <si>
    <t>獅子魚</t>
  </si>
  <si>
    <t>日銅鑼花金龜</t>
  </si>
  <si>
    <t>河豚</t>
  </si>
  <si>
    <t>歌利亞大角花金龜</t>
  </si>
  <si>
    <t>刺河豚</t>
  </si>
  <si>
    <t>鳳尾魚</t>
  </si>
  <si>
    <t>竹筴魚</t>
  </si>
  <si>
    <t>條石鯛</t>
  </si>
  <si>
    <t>彩虹鍬形蟲</t>
  </si>
  <si>
    <t>鱸魚</t>
  </si>
  <si>
    <t>鯛魚</t>
  </si>
  <si>
    <t>鰈魚</t>
  </si>
  <si>
    <t>比目魚</t>
  </si>
  <si>
    <t>魷魚</t>
  </si>
  <si>
    <t>裸胸鱔</t>
  </si>
  <si>
    <t>象兜蟲</t>
  </si>
  <si>
    <t>五彩鰻</t>
  </si>
  <si>
    <t>長戟大兜蟲</t>
  </si>
  <si>
    <t>鮪魚</t>
  </si>
  <si>
    <t>竹節蟲</t>
  </si>
  <si>
    <t>旗魚</t>
  </si>
  <si>
    <t>葉竹隱蟲</t>
  </si>
  <si>
    <t>浪人鰺</t>
  </si>
  <si>
    <t>蓑衣蟲</t>
  </si>
  <si>
    <t>鬼頭刀</t>
  </si>
  <si>
    <t>螞蟻</t>
  </si>
  <si>
    <t>翻車魚</t>
  </si>
  <si>
    <t>寄居蟹</t>
  </si>
  <si>
    <t>魟魚</t>
  </si>
  <si>
    <t>海蟑螂</t>
  </si>
  <si>
    <t>鋸鯊</t>
  </si>
  <si>
    <t>蒼蠅</t>
  </si>
  <si>
    <t>雙髻鯊</t>
  </si>
  <si>
    <t>蚊子</t>
  </si>
  <si>
    <t>鯊魚</t>
  </si>
  <si>
    <t>跳蚤</t>
  </si>
  <si>
    <t>鯨鯊</t>
  </si>
  <si>
    <t>蝸牛</t>
  </si>
  <si>
    <t>吸盤魚</t>
  </si>
  <si>
    <t>鼠婦</t>
  </si>
  <si>
    <t>燈籠魚</t>
  </si>
  <si>
    <t>蜈蚣</t>
  </si>
  <si>
    <t>皇帶魚</t>
  </si>
  <si>
    <t>蜘蛛</t>
  </si>
  <si>
    <t>太平洋桶眼魚</t>
  </si>
  <si>
    <t>狼蛛</t>
  </si>
  <si>
    <t>矛尾魚</t>
  </si>
  <si>
    <t>蠍子</t>
  </si>
  <si>
    <t>----</t>
  </si>
  <si>
    <t>地點</t>
  </si>
  <si>
    <t>魚影尺寸</t>
  </si>
  <si>
    <t>出現月份</t>
  </si>
  <si>
    <t>本月時間帶</t>
  </si>
  <si>
    <t>河川</t>
  </si>
  <si>
    <t>特小</t>
  </si>
  <si>
    <t>北半球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</si>
  <si>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</si>
  <si>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</si>
  <si>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</si>
  <si>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</si>
  <si>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</si>
  <si>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</si>
  <si>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</si>
  <si>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</si>
  <si>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</si>
  <si>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</si>
  <si>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</si>
  <si>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</si>
  <si>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全天</t>
  </si>
  <si>
    <t>南半球</t>
  </si>
  <si>
    <t>9點-16點</t>
  </si>
  <si>
    <t>小</t>
  </si>
  <si>
    <t>中偏小</t>
  </si>
  <si>
    <t>16點-9點</t>
  </si>
  <si>
    <t>池塘</t>
  </si>
  <si>
    <t>中偏大</t>
  </si>
  <si>
    <t>21點-4點</t>
  </si>
  <si>
    <t>大</t>
  </si>
  <si>
    <t>懸崖上</t>
  </si>
  <si>
    <t>出海口</t>
  </si>
  <si>
    <t>9點-16點
21點-4點</t>
  </si>
  <si>
    <t>4點-21點</t>
  </si>
  <si>
    <t>特大</t>
  </si>
  <si>
    <t>大海</t>
  </si>
  <si>
    <t>--</t>
  </si>
  <si>
    <t xml:space="preserve">中偏小
</t>
  </si>
  <si>
    <t>細長</t>
  </si>
  <si>
    <t>碼頭</t>
  </si>
  <si>
    <t>背鰭</t>
  </si>
  <si>
    <t>大海(雨天)</t>
  </si>
  <si>
    <t>白粉蝶
Common butterfly</t>
  </si>
  <si>
    <t>綠地
(飛行)</t>
  </si>
  <si>
    <t>4點-19點</t>
  </si>
  <si>
    <t>斑緣點粉蝶
Yellow butterfly</t>
  </si>
  <si>
    <t>鳳蝶
Tiger butterfly</t>
  </si>
  <si>
    <t>烏鴉鳳蝶
Peacock butterfly</t>
  </si>
  <si>
    <t>青帶鳳蝶
Common bluebottle</t>
  </si>
  <si>
    <t>4點-20點</t>
  </si>
  <si>
    <t>大白斑蝶
Paper kite butterfly</t>
  </si>
  <si>
    <t>8點-19點</t>
  </si>
  <si>
    <t>大紫蛺蝶
Great purple emperor</t>
  </si>
  <si>
    <t>大樺斑蝶
Monarch butterfly</t>
  </si>
  <si>
    <t>4點-17點</t>
  </si>
  <si>
    <t>大藍閃蝶
Emperor butterfly</t>
  </si>
  <si>
    <t>19點-8點</t>
  </si>
  <si>
    <t>彩襖蛺蝶
Agrias butterfly</t>
  </si>
  <si>
    <t>8點-17點</t>
  </si>
  <si>
    <t>紅頸鳳蝶
Rajah Brooke's birdwing</t>
  </si>
  <si>
    <t>亞歷山大鳳蝶
Queen Alexandra's birdwing</t>
  </si>
  <si>
    <t>8點-16點</t>
  </si>
  <si>
    <t>飛蛾
Moth</t>
  </si>
  <si>
    <t>戶外燈光
附近飛行</t>
  </si>
  <si>
    <t>19點-4點</t>
  </si>
  <si>
    <t>皇蛾
Atlas moth</t>
  </si>
  <si>
    <t>樹幹
(除椰子樹等)</t>
  </si>
  <si>
    <t>日落娥
Madagascan sunset moth</t>
  </si>
  <si>
    <t>中華劍角蝗
Long locust</t>
  </si>
  <si>
    <t>草地
(地面跳躍)</t>
  </si>
  <si>
    <t>飛蝗
Migratory locust</t>
  </si>
  <si>
    <t>稻蝗
Rice grasshopper</t>
  </si>
  <si>
    <t>蚱蜢
Grasshopper</t>
  </si>
  <si>
    <t>蟋蟀
Cricket</t>
  </si>
  <si>
    <t>17點-8點</t>
  </si>
  <si>
    <t>鈴蟲
Bell cricket</t>
  </si>
  <si>
    <t>螳螂
Mantis</t>
  </si>
  <si>
    <t>花朵上
(會逃跑)</t>
  </si>
  <si>
    <t>蘭花螳螂
Orchid mantis</t>
  </si>
  <si>
    <t>蜜蜂
Honeybee</t>
  </si>
  <si>
    <t>花叢附近
(飛行)</t>
  </si>
  <si>
    <t>黃蜂
Wasp</t>
  </si>
  <si>
    <t>搖晃或敲擊樹幹
掉下蜂巢後出現</t>
  </si>
  <si>
    <t>油蟬
Brown cicada</t>
  </si>
  <si>
    <t>斑透翅蟬
Robust cicada</t>
  </si>
  <si>
    <t>熊蟬
Giant cicada</t>
  </si>
  <si>
    <t>寒蟬
Walker cicada</t>
  </si>
  <si>
    <t>暮蟬
Evening cicada</t>
  </si>
  <si>
    <t>蟬蛻
Cicada shell</t>
  </si>
  <si>
    <t>紅蜻蜓
Red dragonfly</t>
  </si>
  <si>
    <t>水邊
(飛行)</t>
  </si>
  <si>
    <t>綠胸晏蜓
Darner dragonfly</t>
  </si>
  <si>
    <t>無霸勾蜓
Banded dragonfly</t>
  </si>
  <si>
    <t>豆娘
Damselfly</t>
  </si>
  <si>
    <t>螢火蟲
Firefly</t>
  </si>
  <si>
    <t>淡水附近</t>
  </si>
  <si>
    <t>螻蛄
Mole cricket</t>
  </si>
  <si>
    <t>地面下
(聽聲音挖地)</t>
  </si>
  <si>
    <t>水黽
Pondskater</t>
  </si>
  <si>
    <t>池塘
(水面滑行)</t>
  </si>
  <si>
    <t>龍蝨
Diving beetle</t>
  </si>
  <si>
    <t>河川或池塘</t>
  </si>
  <si>
    <t>田鱉
Giant water bug</t>
  </si>
  <si>
    <t>椿象
Stinkbug</t>
  </si>
  <si>
    <t>人面椿象
Man-faced stink bug</t>
  </si>
  <si>
    <t>瓢蟲
Ladybug</t>
  </si>
  <si>
    <t>虎甲蟲
Tiger beetle</t>
  </si>
  <si>
    <t>草地
(地面爬行)</t>
  </si>
  <si>
    <t>吉丁蟲
Jewel beetle</t>
  </si>
  <si>
    <t>樹樁</t>
  </si>
  <si>
    <t>提琴蟲
Violin beetle</t>
  </si>
  <si>
    <t>星天牛
Citrus long-horned beetle</t>
  </si>
  <si>
    <t>琉璃星天牛
Rosalia batesi beetle</t>
  </si>
  <si>
    <t>寶石象鼻蟲
Blue weevil beetle</t>
  </si>
  <si>
    <t>樹幹</t>
  </si>
  <si>
    <t>蜣螂
Dung beetle</t>
  </si>
  <si>
    <t>雪球附近出現</t>
  </si>
  <si>
    <t>雪隱金龜
Earth-boring dung beetle</t>
  </si>
  <si>
    <t>寶石金龜
Scarab beetle</t>
  </si>
  <si>
    <t>日銅鑼花金龜
Drone beetle</t>
  </si>
  <si>
    <t>歌利亞大角花金龜
Goliath beetle</t>
  </si>
  <si>
    <t>鋸鍬形蟲
Saw stag</t>
  </si>
  <si>
    <t>深山鍬形蟲
Miyama stag</t>
  </si>
  <si>
    <t>大鍬形蟲
Giant stag</t>
  </si>
  <si>
    <t>彩虹鍬形蟲
Rainbow stag</t>
  </si>
  <si>
    <t>細身赤鍬形蟲
Cyclommatus stag</t>
  </si>
  <si>
    <t>黃金鬼鍬形蟲
Golden stag</t>
  </si>
  <si>
    <t>長頸鹿鋸鍬形蟲
Giraffe stag</t>
  </si>
  <si>
    <t>獨角仙
Horned dynastid</t>
  </si>
  <si>
    <t>高卡薩斯南洋大兜蟲
Horned atlas</t>
  </si>
  <si>
    <t>象兜蟲
Horned elephant</t>
  </si>
  <si>
    <t>長戟大兜蟲
Horned hercules</t>
  </si>
  <si>
    <t>竹節蟲
Walking stick</t>
  </si>
  <si>
    <t>4點-8點
17點-19點</t>
  </si>
  <si>
    <t>葉竹隱蟲
Walking leaf</t>
  </si>
  <si>
    <t>樹下擬態葉片</t>
  </si>
  <si>
    <t>蓑衣蟲
Bagworm</t>
  </si>
  <si>
    <t>樹幹
(搖晃敲擊垂下)</t>
  </si>
  <si>
    <t>螞蟻
Ant</t>
  </si>
  <si>
    <t>地面
(下雨或
腐爛大頭菜)</t>
  </si>
  <si>
    <t>寄居蟹
Hermit crab</t>
  </si>
  <si>
    <t>沙灘
(平時像貝殼)</t>
  </si>
  <si>
    <t>海蟑螂
Wharf roach</t>
  </si>
  <si>
    <t>沙灘大岩石上</t>
  </si>
  <si>
    <t>蒼蠅
Fly</t>
  </si>
  <si>
    <t>飛行
(垃圾或
腐爛大頭菜)</t>
  </si>
  <si>
    <t>蚊子
Mosquito</t>
  </si>
  <si>
    <t>隨機出現</t>
  </si>
  <si>
    <t>17點-4點</t>
  </si>
  <si>
    <t>跳蚤
Flea</t>
  </si>
  <si>
    <t>居民身上</t>
  </si>
  <si>
    <t>蝸牛
Snail</t>
  </si>
  <si>
    <t>鼠婦
Pill bug</t>
  </si>
  <si>
    <t xml:space="preserve">石頭
(敲擊)
</t>
  </si>
  <si>
    <t>23點-16點</t>
  </si>
  <si>
    <t>蜈蚣
Centipede</t>
  </si>
  <si>
    <t>石頭
(敲擊)</t>
  </si>
  <si>
    <t>16點-23點</t>
  </si>
  <si>
    <t>蜘蛛
Spider</t>
  </si>
  <si>
    <t>19點-08點</t>
  </si>
  <si>
    <t>狼蛛
Tarantula</t>
  </si>
  <si>
    <t>地面
(靠近會主動攻擊)</t>
  </si>
  <si>
    <t>19點-04點</t>
  </si>
  <si>
    <t>蠍子
Scorpion</t>
  </si>
  <si>
    <t>半球</t>
    <phoneticPr fontId="24" type="noConversion"/>
  </si>
  <si>
    <t>time</t>
    <phoneticPr fontId="24" type="noConversion"/>
  </si>
  <si>
    <r>
      <rPr>
        <sz val="11"/>
        <color rgb="FF1155CC"/>
        <rFont val="微軟正黑體"/>
        <family val="2"/>
        <charset val="136"/>
      </rPr>
      <t xml:space="preserve">紅目鯽
</t>
    </r>
    <r>
      <rPr>
        <sz val="11"/>
        <color rgb="FF1155CC"/>
        <rFont val="Arial"/>
        <family val="2"/>
      </rPr>
      <t>Bitterling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</si>
  <si>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溪哥
</t>
    </r>
    <r>
      <rPr>
        <sz val="11"/>
        <color rgb="FF1155CC"/>
        <rFont val="Arial"/>
        <family val="2"/>
      </rPr>
      <t>Pale chub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</si>
  <si>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鯽魚
</t>
    </r>
    <r>
      <rPr>
        <sz val="11"/>
        <color rgb="FF1155CC"/>
        <rFont val="Arial"/>
        <family val="2"/>
      </rPr>
      <t>Crucian carp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</si>
  <si>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珠星三塊魚
</t>
    </r>
    <r>
      <rPr>
        <sz val="11"/>
        <color rgb="FF1155CC"/>
        <rFont val="Arial"/>
        <family val="2"/>
      </rPr>
      <t>Dace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</si>
  <si>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鯉魚
</t>
    </r>
    <r>
      <rPr>
        <sz val="11"/>
        <color rgb="FF1155CC"/>
        <rFont val="Arial"/>
        <family val="2"/>
      </rPr>
      <t>Carp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</si>
  <si>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錦鯉
</t>
    </r>
    <r>
      <rPr>
        <sz val="11"/>
        <color rgb="FF1155CC"/>
        <rFont val="Arial"/>
        <family val="2"/>
      </rPr>
      <t>Koi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</si>
  <si>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金魚
</t>
    </r>
    <r>
      <rPr>
        <sz val="11"/>
        <color rgb="FF1155CC"/>
        <rFont val="Arial"/>
        <family val="2"/>
      </rPr>
      <t>Goldfish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</si>
  <si>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龍睛金魚
</t>
    </r>
    <r>
      <rPr>
        <sz val="11"/>
        <color rgb="FF1155CC"/>
        <rFont val="Arial"/>
        <family val="2"/>
      </rPr>
      <t>Pop-eyed goldfish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</si>
  <si>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藍壽金魚
</t>
    </r>
    <r>
      <rPr>
        <sz val="11"/>
        <color rgb="FF1155CC"/>
        <rFont val="Arial"/>
        <family val="2"/>
      </rPr>
      <t>Ranchu goldfish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</si>
  <si>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淡水龍蝦
</t>
    </r>
    <r>
      <rPr>
        <sz val="11"/>
        <color rgb="FF1155CC"/>
        <rFont val="Arial"/>
        <family val="2"/>
      </rPr>
      <t>Crawfish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</si>
  <si>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鱉
</t>
    </r>
    <r>
      <rPr>
        <sz val="11"/>
        <color rgb="FF1155CC"/>
        <rFont val="Arial"/>
        <family val="2"/>
      </rPr>
      <t>Soft-shelled turtle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</si>
  <si>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擬鱷龜
</t>
    </r>
    <r>
      <rPr>
        <sz val="11"/>
        <color rgb="FF1155CC"/>
        <rFont val="Arial"/>
        <family val="2"/>
      </rPr>
      <t>Snapping turtle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</si>
  <si>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蝌蚪
</t>
    </r>
    <r>
      <rPr>
        <sz val="11"/>
        <color rgb="FF1155CC"/>
        <rFont val="Arial"/>
        <family val="2"/>
      </rPr>
      <t>Tadpole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</si>
  <si>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青蛙
</t>
    </r>
    <r>
      <rPr>
        <sz val="11"/>
        <color rgb="FF1155CC"/>
        <rFont val="Arial"/>
        <family val="2"/>
      </rPr>
      <t>Frog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</si>
  <si>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塘鱧魚
</t>
    </r>
    <r>
      <rPr>
        <sz val="11"/>
        <color rgb="FF1155CC"/>
        <rFont val="Arial"/>
        <family val="2"/>
      </rPr>
      <t>Freshwater goby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</si>
  <si>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泥鰍
</t>
    </r>
    <r>
      <rPr>
        <sz val="11"/>
        <color rgb="FF1155CC"/>
        <rFont val="Arial"/>
        <family val="2"/>
      </rPr>
      <t>Loach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</si>
  <si>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鯰魚
</t>
    </r>
    <r>
      <rPr>
        <sz val="11"/>
        <color rgb="FF1155CC"/>
        <rFont val="Arial"/>
        <family val="2"/>
      </rPr>
      <t>Catfish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</si>
  <si>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藍鰓太陽魚
</t>
    </r>
    <r>
      <rPr>
        <sz val="11"/>
        <color rgb="FF1155CC"/>
        <rFont val="Arial"/>
        <family val="2"/>
      </rPr>
      <t>Bluegill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</si>
  <si>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黃鱸魚
</t>
    </r>
    <r>
      <rPr>
        <sz val="11"/>
        <color rgb="FF1155CC"/>
        <rFont val="Arial"/>
        <family val="2"/>
      </rPr>
      <t>Yellow perch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</si>
  <si>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黑鱸魚
</t>
    </r>
    <r>
      <rPr>
        <sz val="11"/>
        <color rgb="FF1155CC"/>
        <rFont val="Arial"/>
        <family val="2"/>
      </rPr>
      <t>Black bass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</si>
  <si>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吳郭魚
</t>
    </r>
    <r>
      <rPr>
        <sz val="11"/>
        <color rgb="FF1155CC"/>
        <rFont val="Arial"/>
        <family val="2"/>
      </rPr>
      <t>Tilapia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</si>
  <si>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白斑狗魚
</t>
    </r>
    <r>
      <rPr>
        <sz val="11"/>
        <color rgb="FF1155CC"/>
        <rFont val="Arial"/>
        <family val="2"/>
      </rPr>
      <t>Pike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</si>
  <si>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香魚
</t>
    </r>
    <r>
      <rPr>
        <sz val="11"/>
        <color rgb="FF1155CC"/>
        <rFont val="Arial"/>
        <family val="2"/>
      </rPr>
      <t>Sweetfish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</si>
  <si>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櫻花鉤吻鮭
</t>
    </r>
    <r>
      <rPr>
        <sz val="11"/>
        <color rgb="FF1155CC"/>
        <rFont val="Arial"/>
        <family val="2"/>
      </rPr>
      <t>Cherry salmon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</si>
  <si>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花羔紅點鮭
</t>
    </r>
    <r>
      <rPr>
        <sz val="11"/>
        <color rgb="FF1155CC"/>
        <rFont val="Arial"/>
        <family val="2"/>
      </rPr>
      <t>Char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</si>
  <si>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金鱒
</t>
    </r>
    <r>
      <rPr>
        <sz val="11"/>
        <color rgb="FF1155CC"/>
        <rFont val="Arial"/>
        <family val="2"/>
      </rPr>
      <t>Golden trout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</si>
  <si>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遠東哲羅魚
</t>
    </r>
    <r>
      <rPr>
        <sz val="11"/>
        <color rgb="FF1155CC"/>
        <rFont val="Arial"/>
        <family val="2"/>
      </rPr>
      <t>Stringfish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</si>
  <si>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鮭魚
</t>
    </r>
    <r>
      <rPr>
        <sz val="11"/>
        <color rgb="FF1155CC"/>
        <rFont val="Arial"/>
        <family val="2"/>
      </rPr>
      <t>Salmon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</si>
  <si>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帝王鮭
</t>
    </r>
    <r>
      <rPr>
        <sz val="11"/>
        <color rgb="FF1155CC"/>
        <rFont val="Arial"/>
        <family val="2"/>
      </rPr>
      <t>King salmon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</si>
  <si>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中華絨螯蟹
</t>
    </r>
    <r>
      <rPr>
        <sz val="11"/>
        <color rgb="FF1155CC"/>
        <rFont val="Arial"/>
        <family val="2"/>
      </rPr>
      <t>Mitten crab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</si>
  <si>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孔雀魚
</t>
    </r>
    <r>
      <rPr>
        <sz val="11"/>
        <color rgb="FF1155CC"/>
        <rFont val="Arial"/>
        <family val="2"/>
      </rPr>
      <t>Guppy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</si>
  <si>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溫泉醫生魚
</t>
    </r>
    <r>
      <rPr>
        <sz val="11"/>
        <color rgb="FF1155CC"/>
        <rFont val="Arial"/>
        <family val="2"/>
      </rPr>
      <t>Nibble 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</si>
  <si>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神仙魚
</t>
    </r>
    <r>
      <rPr>
        <sz val="11"/>
        <color rgb="FF1155CC"/>
        <rFont val="Arial"/>
        <family val="2"/>
      </rPr>
      <t>Angelfish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</si>
  <si>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鬥魚
</t>
    </r>
    <r>
      <rPr>
        <sz val="11"/>
        <color rgb="FF1155CC"/>
        <rFont val="Arial"/>
        <family val="2"/>
      </rPr>
      <t>Betta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</si>
  <si>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霓虹燈魚
</t>
    </r>
    <r>
      <rPr>
        <sz val="11"/>
        <color rgb="FF1155CC"/>
        <rFont val="Arial"/>
        <family val="2"/>
      </rPr>
      <t>Neon tetra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</si>
  <si>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彩虹魚
</t>
    </r>
    <r>
      <rPr>
        <sz val="11"/>
        <color rgb="FF1155CC"/>
        <rFont val="Arial"/>
        <family val="2"/>
      </rPr>
      <t>Rainbowfish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</si>
  <si>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食人魚
</t>
    </r>
    <r>
      <rPr>
        <sz val="11"/>
        <color rgb="FF1155CC"/>
        <rFont val="Arial"/>
        <family val="2"/>
      </rPr>
      <t>Piranha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</si>
  <si>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骨舌魚
</t>
    </r>
    <r>
      <rPr>
        <sz val="11"/>
        <color rgb="FF1155CC"/>
        <rFont val="Arial"/>
        <family val="2"/>
      </rPr>
      <t>Arowana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</si>
  <si>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黃金河虎
</t>
    </r>
    <r>
      <rPr>
        <sz val="11"/>
        <color rgb="FF1155CC"/>
        <rFont val="Arial"/>
        <family val="2"/>
      </rPr>
      <t>Dorado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</si>
  <si>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雀鱔
</t>
    </r>
    <r>
      <rPr>
        <sz val="11"/>
        <color rgb="FF1155CC"/>
        <rFont val="Arial"/>
        <family val="2"/>
      </rPr>
      <t>Gar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</si>
  <si>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巨骨舌魚
</t>
    </r>
    <r>
      <rPr>
        <sz val="11"/>
        <color rgb="FF1155CC"/>
        <rFont val="Arial"/>
        <family val="2"/>
      </rPr>
      <t>Arapaima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</si>
  <si>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恩氏多鰭魚
</t>
    </r>
    <r>
      <rPr>
        <sz val="11"/>
        <color rgb="FF1155CC"/>
        <rFont val="Arial"/>
        <family val="2"/>
      </rPr>
      <t>Saddled bichir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</si>
  <si>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鱘魚
</t>
    </r>
    <r>
      <rPr>
        <sz val="11"/>
        <color rgb="FF1155CC"/>
        <rFont val="Arial"/>
        <family val="2"/>
      </rPr>
      <t>Sturgeon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</si>
  <si>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海天使
</t>
    </r>
    <r>
      <rPr>
        <sz val="11"/>
        <color rgb="FF1155CC"/>
        <rFont val="Arial"/>
        <family val="2"/>
      </rPr>
      <t>Sea butterfly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</si>
  <si>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海馬
</t>
    </r>
    <r>
      <rPr>
        <sz val="11"/>
        <color rgb="FF1155CC"/>
        <rFont val="Arial"/>
        <family val="2"/>
      </rPr>
      <t>Seahorse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</si>
  <si>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小丑魚
</t>
    </r>
    <r>
      <rPr>
        <sz val="11"/>
        <color rgb="FF1155CC"/>
        <rFont val="Arial"/>
        <family val="2"/>
      </rPr>
      <t>Clownfish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</si>
  <si>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擬刺尾鯛
</t>
    </r>
    <r>
      <rPr>
        <sz val="11"/>
        <color rgb="FF1155CC"/>
        <rFont val="Arial"/>
        <family val="2"/>
      </rPr>
      <t>Surgeonfish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</si>
  <si>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耳帶蝴蝶魚
</t>
    </r>
    <r>
      <rPr>
        <sz val="11"/>
        <color rgb="FF1155CC"/>
        <rFont val="Arial"/>
        <family val="2"/>
      </rPr>
      <t>Butterfly 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</si>
  <si>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蘇眉魚
</t>
    </r>
    <r>
      <rPr>
        <sz val="11"/>
        <color rgb="FF1155CC"/>
        <rFont val="Arial"/>
        <family val="2"/>
      </rPr>
      <t>Napoleonfish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</si>
  <si>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獅子魚
</t>
    </r>
    <r>
      <rPr>
        <sz val="11"/>
        <color rgb="FF1155CC"/>
        <rFont val="Arial"/>
        <family val="2"/>
      </rPr>
      <t>Zebra turkeyfish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</si>
  <si>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河豚
</t>
    </r>
    <r>
      <rPr>
        <sz val="11"/>
        <color rgb="FF1155CC"/>
        <rFont val="Arial"/>
        <family val="2"/>
      </rPr>
      <t>Blowfish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</si>
  <si>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刺河豚
</t>
    </r>
    <r>
      <rPr>
        <sz val="11"/>
        <color rgb="FF1155CC"/>
        <rFont val="Arial"/>
        <family val="2"/>
      </rPr>
      <t>Puffer 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</si>
  <si>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鳳尾魚
</t>
    </r>
    <r>
      <rPr>
        <sz val="11"/>
        <color rgb="FF1155CC"/>
        <rFont val="Arial"/>
        <family val="2"/>
      </rPr>
      <t>Anchovy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</si>
  <si>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竹筴魚
</t>
    </r>
    <r>
      <rPr>
        <sz val="11"/>
        <color rgb="FF1155CC"/>
        <rFont val="Arial"/>
        <family val="2"/>
      </rPr>
      <t>Horse mackerel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</si>
  <si>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條石鯛
</t>
    </r>
    <r>
      <rPr>
        <sz val="11"/>
        <color rgb="FF1155CC"/>
        <rFont val="Arial"/>
        <family val="2"/>
      </rPr>
      <t>Barred knifejaw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</si>
  <si>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鱸魚
</t>
    </r>
    <r>
      <rPr>
        <sz val="11"/>
        <color rgb="FF1155CC"/>
        <rFont val="Arial"/>
        <family val="2"/>
      </rPr>
      <t>Sea bass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</si>
  <si>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鯛魚
</t>
    </r>
    <r>
      <rPr>
        <sz val="11"/>
        <color rgb="FF1155CC"/>
        <rFont val="Arial"/>
        <family val="2"/>
      </rPr>
      <t>Red snapper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</si>
  <si>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鰈魚
</t>
    </r>
    <r>
      <rPr>
        <sz val="11"/>
        <color rgb="FF1155CC"/>
        <rFont val="Arial"/>
        <family val="2"/>
      </rPr>
      <t>Dab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</si>
  <si>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比目魚
</t>
    </r>
    <r>
      <rPr>
        <sz val="11"/>
        <color rgb="FF1155CC"/>
        <rFont val="Arial"/>
        <family val="2"/>
      </rPr>
      <t>Olive flounder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</si>
  <si>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魷魚
</t>
    </r>
    <r>
      <rPr>
        <sz val="11"/>
        <color rgb="FF1155CC"/>
        <rFont val="Arial"/>
        <family val="2"/>
      </rPr>
      <t>Squid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</si>
  <si>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裸胸鱔
</t>
    </r>
    <r>
      <rPr>
        <sz val="11"/>
        <color rgb="FF1155CC"/>
        <rFont val="Arial"/>
        <family val="2"/>
      </rPr>
      <t>Moray eel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</si>
  <si>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五彩鰻
</t>
    </r>
    <r>
      <rPr>
        <sz val="11"/>
        <color rgb="FF1155CC"/>
        <rFont val="Arial"/>
        <family val="2"/>
      </rPr>
      <t>Ribbon eel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</si>
  <si>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鮪魚
</t>
    </r>
    <r>
      <rPr>
        <sz val="11"/>
        <color rgb="FF1155CC"/>
        <rFont val="Arial"/>
        <family val="2"/>
      </rPr>
      <t>Tuna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</si>
  <si>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旗魚
</t>
    </r>
    <r>
      <rPr>
        <sz val="11"/>
        <color rgb="FF1155CC"/>
        <rFont val="Arial"/>
        <family val="2"/>
      </rPr>
      <t>Blue marlin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</si>
  <si>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浪人鰺
</t>
    </r>
    <r>
      <rPr>
        <sz val="11"/>
        <color rgb="FF1155CC"/>
        <rFont val="Arial"/>
        <family val="2"/>
      </rPr>
      <t>Giant trevally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</si>
  <si>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鬼頭刀
</t>
    </r>
    <r>
      <rPr>
        <sz val="11"/>
        <color rgb="FF1155CC"/>
        <rFont val="Arial"/>
        <family val="2"/>
      </rPr>
      <t>Mahi-mahi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</si>
  <si>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翻車魚
</t>
    </r>
    <r>
      <rPr>
        <sz val="11"/>
        <color rgb="FF1155CC"/>
        <rFont val="Arial"/>
        <family val="2"/>
      </rPr>
      <t>Ocean sunfish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</si>
  <si>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魟魚
</t>
    </r>
    <r>
      <rPr>
        <sz val="11"/>
        <color rgb="FF1155CC"/>
        <rFont val="Arial"/>
        <family val="2"/>
      </rPr>
      <t>Ray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</si>
  <si>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鋸鯊
</t>
    </r>
    <r>
      <rPr>
        <sz val="11"/>
        <color rgb="FF1155CC"/>
        <rFont val="Arial"/>
        <family val="2"/>
      </rPr>
      <t>Saw shark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</si>
  <si>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雙髻鯊
</t>
    </r>
    <r>
      <rPr>
        <sz val="11"/>
        <color rgb="FF1155CC"/>
        <rFont val="Arial"/>
        <family val="2"/>
      </rPr>
      <t>Hammerhead shark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</si>
  <si>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鯊魚
</t>
    </r>
    <r>
      <rPr>
        <sz val="11"/>
        <color rgb="FF1155CC"/>
        <rFont val="Arial"/>
        <family val="2"/>
      </rPr>
      <t>Great white shark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</si>
  <si>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鯨鯊
</t>
    </r>
    <r>
      <rPr>
        <sz val="11"/>
        <color rgb="FF1155CC"/>
        <rFont val="Arial"/>
        <family val="2"/>
      </rPr>
      <t>Whale shark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</si>
  <si>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吸盤魚
</t>
    </r>
    <r>
      <rPr>
        <sz val="11"/>
        <color rgb="FF1155CC"/>
        <rFont val="Arial"/>
        <family val="2"/>
      </rPr>
      <t>Suckerfish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</si>
  <si>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燈籠魚
</t>
    </r>
    <r>
      <rPr>
        <sz val="11"/>
        <color rgb="FF1155CC"/>
        <rFont val="Arial"/>
        <family val="2"/>
      </rPr>
      <t>Football 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</si>
  <si>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皇帶魚
</t>
    </r>
    <r>
      <rPr>
        <sz val="11"/>
        <color rgb="FF1155CC"/>
        <rFont val="Arial"/>
        <family val="2"/>
      </rPr>
      <t>Oarfish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</si>
  <si>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太平洋桶眼魚
</t>
    </r>
    <r>
      <rPr>
        <sz val="11"/>
        <color rgb="FF1155CC"/>
        <rFont val="Arial"/>
        <family val="2"/>
      </rPr>
      <t>Barreleye</t>
    </r>
    <phoneticPr fontId="24" type="noConversion"/>
  </si>
  <si>
    <r>
      <rPr>
        <sz val="11"/>
        <color rgb="FF1155CC"/>
        <rFont val="微軟正黑體"/>
        <family val="2"/>
        <charset val="136"/>
      </rPr>
      <t xml:space="preserve">矛尾魚
</t>
    </r>
    <r>
      <rPr>
        <sz val="11"/>
        <color rgb="FF1155CC"/>
        <rFont val="Arial"/>
        <family val="2"/>
      </rPr>
      <t>Coelacanth</t>
    </r>
    <phoneticPr fontId="24" type="noConversion"/>
  </si>
  <si>
    <r>
      <t>9</t>
    </r>
    <r>
      <rPr>
        <sz val="11"/>
        <color rgb="FFCC0000"/>
        <rFont val="微軟正黑體"/>
        <family val="2"/>
        <charset val="136"/>
      </rPr>
      <t>點</t>
    </r>
    <r>
      <rPr>
        <sz val="11"/>
        <color rgb="FFCC0000"/>
        <rFont val="Arial"/>
        <family val="2"/>
      </rPr>
      <t>-16</t>
    </r>
    <r>
      <rPr>
        <sz val="11"/>
        <color rgb="FFCC0000"/>
        <rFont val="微軟正黑體"/>
        <family val="2"/>
        <charset val="136"/>
      </rPr>
      <t>點</t>
    </r>
    <r>
      <rPr>
        <sz val="11"/>
        <color rgb="FFCC0000"/>
        <rFont val="Arial"/>
        <family val="2"/>
      </rPr>
      <t>,21</t>
    </r>
    <r>
      <rPr>
        <sz val="11"/>
        <color rgb="FFCC0000"/>
        <rFont val="微軟正黑體"/>
        <family val="2"/>
        <charset val="136"/>
      </rPr>
      <t>點</t>
    </r>
    <r>
      <rPr>
        <sz val="11"/>
        <color rgb="FFCC0000"/>
        <rFont val="Arial"/>
        <family val="2"/>
      </rPr>
      <t>-4</t>
    </r>
    <r>
      <rPr>
        <sz val="11"/>
        <color rgb="FFCC0000"/>
        <rFont val="微軟正黑體"/>
        <family val="2"/>
        <charset val="136"/>
      </rPr>
      <t>點</t>
    </r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</si>
</sst>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2"/>
      <color rgb="FF000000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11"/>
      <color rgb="FF1155CC"/>
      <name val="Arial"/>
      <family val="2"/>
    </font>
    <font>
      <b/>
      <sz val="11"/>
      <color rgb="FFCC0000"/>
      <name val="Arial"/>
      <family val="2"/>
    </font>
    <font>
      <b/>
      <sz val="11"/>
      <color rgb="FFFF0000"/>
      <name val="Arial"/>
      <family val="2"/>
    </font>
    <font>
      <b/>
      <sz val="11"/>
      <color rgb="FF38761D"/>
      <name val="Arial"/>
      <family val="2"/>
    </font>
    <font>
      <b/>
      <sz val="11"/>
      <color rgb="FF674EA7"/>
      <name val="Arial"/>
      <family val="2"/>
    </font>
    <font>
      <sz val="11"/>
      <color rgb="FF1155CC"/>
      <name val="Arial"/>
      <family val="2"/>
    </font>
    <font>
      <sz val="11"/>
      <color rgb="FFCC0000"/>
      <name val="Arial"/>
      <family val="2"/>
    </font>
    <font>
      <sz val="11"/>
      <color rgb="FFFF0000"/>
      <name val="Arial"/>
      <family val="2"/>
    </font>
    <font>
      <sz val="11"/>
      <color rgb="FF38761D"/>
      <name val="Arial"/>
      <family val="2"/>
    </font>
    <font>
      <sz val="11"/>
      <color rgb="FF674EA7"/>
      <name val="Arial"/>
      <family val="2"/>
    </font>
    <font>
      <sz val="11"/>
      <color rgb="FF000000"/>
      <name val="Arial"/>
      <family val="2"/>
    </font>
    <font>
      <sz val="9"/>
      <name val="細明體"/>
      <family val="3"/>
      <charset val="136"/>
    </font>
    <font>
      <b/>
      <sz val="11"/>
      <color rgb="FF1C4587"/>
      <name val="Arial"/>
      <family val="2"/>
    </font>
    <font>
      <b/>
      <sz val="11"/>
      <color rgb="FFAF2670"/>
      <name val="Arial"/>
      <family val="2"/>
    </font>
    <font>
      <b/>
      <sz val="11"/>
      <color rgb="FFA64D79"/>
      <name val="Arial"/>
      <family val="2"/>
    </font>
    <font>
      <sz val="11"/>
      <color rgb="FF1C4587"/>
      <name val="Arial"/>
      <family val="2"/>
    </font>
    <font>
      <sz val="11"/>
      <color rgb="FFAF2670"/>
      <name val="Arial"/>
      <family val="2"/>
    </font>
    <font>
      <sz val="11"/>
      <color rgb="FFCCCCCC"/>
      <name val="Arial"/>
      <family val="2"/>
    </font>
    <font>
      <sz val="11"/>
      <color rgb="FFA64D79"/>
      <name val="Arial"/>
      <family val="2"/>
    </font>
    <font>
      <sz val="11"/>
      <color rgb="FFD9D9D9"/>
      <name val="Arial"/>
      <family val="2"/>
    </font>
    <font>
      <b/>
      <sz val="11"/>
      <color rgb="FFA64D79"/>
      <name val="細明體"/>
      <family val="2"/>
      <charset val="136"/>
    </font>
    <font>
      <sz val="11"/>
      <color rgb="FF1155CC"/>
      <name val="微軟正黑體"/>
      <family val="2"/>
      <charset val="136"/>
    </font>
    <font>
      <sz val="11"/>
      <color rgb="FF1155CC"/>
      <name val="Arial"/>
      <family val="2"/>
      <charset val="136"/>
    </font>
    <font>
      <sz val="11"/>
      <color rgb="FFCC0000"/>
      <name val="微軟正黑體"/>
      <family val="2"/>
      <charset val="136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CFE2F3"/>
        <bgColor rgb="FFCFE2F3"/>
      </patternFill>
    </fill>
    <fill>
      <patternFill patternType="solid">
        <fgColor rgb="FFD9EAD3"/>
        <bgColor rgb="FFD9EAD3"/>
      </patternFill>
    </fill>
    <fill>
      <patternFill patternType="solid">
        <fgColor rgb="FFD9D2E9"/>
        <bgColor rgb="FFD9D2E9"/>
      </patternFill>
    </fill>
    <fill>
      <patternFill patternType="solid">
        <fgColor rgb="FFE3DEF0"/>
        <bgColor rgb="FFE3DEF0"/>
      </patternFill>
    </fill>
    <fill>
      <patternFill patternType="solid">
        <fgColor rgb="FFD0E0E3"/>
        <bgColor rgb="FFD0E0E3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0" borderId="0"/>
    <xf numFmtId="0" fontId="7" fillId="7" borderId="0"/>
    <xf numFmtId="0" fontId="8" fillId="0" borderId="0"/>
    <xf numFmtId="0" fontId="9" fillId="0" borderId="0"/>
    <xf numFmtId="0" fontId="1" fillId="0" borderId="0"/>
    <xf numFmtId="0" fontId="10" fillId="0" borderId="0"/>
    <xf numFmtId="0" fontId="11" fillId="8" borderId="0"/>
    <xf numFmtId="0" fontId="12" fillId="8" borderId="1"/>
    <xf numFmtId="0" fontId="1" fillId="0" borderId="0"/>
    <xf numFmtId="0" fontId="1" fillId="0" borderId="0"/>
    <xf numFmtId="0" fontId="4" fillId="0" borderId="0"/>
  </cellStyleXfs>
  <cellXfs count="89">
    <xf numFmtId="0" fontId="0" fillId="0" borderId="0" xfId="0"/>
    <xf numFmtId="0" fontId="13" fillId="9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3" fillId="11" borderId="0" xfId="0" applyFont="1" applyFill="1" applyAlignment="1">
      <alignment horizontal="center" vertical="center"/>
    </xf>
    <xf numFmtId="0" fontId="23" fillId="11" borderId="0" xfId="0" applyFont="1" applyFill="1" applyAlignment="1">
      <alignment vertical="center"/>
    </xf>
    <xf numFmtId="0" fontId="21" fillId="10" borderId="0" xfId="0" applyFont="1" applyFill="1" applyAlignment="1">
      <alignment horizontal="center"/>
    </xf>
    <xf numFmtId="0" fontId="21" fillId="9" borderId="0" xfId="0" applyFont="1" applyFill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center" vertical="center"/>
    </xf>
    <xf numFmtId="0" fontId="14" fillId="12" borderId="0" xfId="0" applyFont="1" applyFill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6" fillId="12" borderId="0" xfId="0" applyFont="1" applyFill="1" applyAlignment="1">
      <alignment horizontal="center" vertical="center"/>
    </xf>
    <xf numFmtId="0" fontId="27" fillId="12" borderId="0" xfId="0" applyFont="1" applyFill="1" applyBorder="1" applyAlignment="1">
      <alignment horizontal="center" vertical="center"/>
    </xf>
    <xf numFmtId="0" fontId="14" fillId="12" borderId="0" xfId="0" applyFont="1" applyFill="1" applyAlignment="1">
      <alignment vertical="center"/>
    </xf>
    <xf numFmtId="0" fontId="23" fillId="12" borderId="0" xfId="0" applyFont="1" applyFill="1" applyAlignment="1">
      <alignment vertical="center"/>
    </xf>
    <xf numFmtId="0" fontId="17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30" fillId="9" borderId="0" xfId="0" applyFont="1" applyFill="1" applyAlignment="1">
      <alignment horizontal="center" vertical="center"/>
    </xf>
    <xf numFmtId="0" fontId="27" fillId="9" borderId="0" xfId="0" applyFont="1" applyFill="1" applyAlignment="1">
      <alignment horizontal="center" vertical="center"/>
    </xf>
    <xf numFmtId="0" fontId="31" fillId="9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22" fillId="12" borderId="0" xfId="0" applyFont="1" applyFill="1" applyAlignment="1">
      <alignment horizontal="center" vertical="center"/>
    </xf>
    <xf numFmtId="0" fontId="27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32" fillId="9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25" fillId="13" borderId="0" xfId="0" applyFont="1" applyFill="1" applyAlignment="1">
      <alignment horizontal="center"/>
    </xf>
    <xf numFmtId="0" fontId="17" fillId="10" borderId="0" xfId="0" applyFont="1" applyFill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30" fillId="10" borderId="0" xfId="0" applyFont="1" applyFill="1" applyAlignment="1">
      <alignment horizontal="center" vertical="center"/>
    </xf>
    <xf numFmtId="0" fontId="27" fillId="10" borderId="0" xfId="0" applyFont="1" applyFill="1" applyAlignment="1">
      <alignment horizontal="center" vertical="center"/>
    </xf>
    <xf numFmtId="0" fontId="31" fillId="10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22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1" fillId="13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33" fillId="12" borderId="0" xfId="0" applyFont="1" applyFill="1" applyBorder="1" applyAlignment="1">
      <alignment horizontal="center" vertical="center"/>
    </xf>
    <xf numFmtId="0" fontId="19" fillId="9" borderId="0" xfId="0" applyFont="1" applyFill="1" applyBorder="1" applyAlignment="1">
      <alignment horizontal="center" vertical="center"/>
    </xf>
    <xf numFmtId="0" fontId="0" fillId="9" borderId="0" xfId="0" applyFill="1" applyBorder="1"/>
    <xf numFmtId="0" fontId="0" fillId="12" borderId="0" xfId="0" applyFill="1" applyBorder="1"/>
    <xf numFmtId="0" fontId="35" fillId="12" borderId="0" xfId="0" applyFont="1" applyFill="1" applyBorder="1" applyAlignment="1">
      <alignment horizontal="center" vertical="center" wrapText="1"/>
    </xf>
    <xf numFmtId="0" fontId="18" fillId="12" borderId="0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20" fillId="12" borderId="0" xfId="0" applyFont="1" applyFill="1" applyBorder="1" applyAlignment="1">
      <alignment horizontal="center" vertical="center"/>
    </xf>
    <xf numFmtId="0" fontId="28" fillId="12" borderId="0" xfId="0" applyFont="1" applyFill="1" applyBorder="1" applyAlignment="1">
      <alignment horizontal="center" vertical="center"/>
    </xf>
    <xf numFmtId="0" fontId="29" fillId="12" borderId="0" xfId="0" applyFont="1" applyFill="1" applyBorder="1" applyAlignment="1">
      <alignment horizontal="center" vertical="center"/>
    </xf>
    <xf numFmtId="0" fontId="35" fillId="9" borderId="0" xfId="0" applyFont="1" applyFill="1" applyBorder="1" applyAlignment="1">
      <alignment horizontal="center" vertical="center" wrapText="1"/>
    </xf>
    <xf numFmtId="0" fontId="18" fillId="9" borderId="0" xfId="0" applyFont="1" applyFill="1" applyBorder="1" applyAlignment="1">
      <alignment horizontal="center" vertical="center"/>
    </xf>
    <xf numFmtId="0" fontId="20" fillId="9" borderId="0" xfId="0" applyFont="1" applyFill="1" applyBorder="1" applyAlignment="1">
      <alignment horizontal="center" vertical="center"/>
    </xf>
    <xf numFmtId="0" fontId="28" fillId="9" borderId="0" xfId="0" applyFont="1" applyFill="1" applyBorder="1" applyAlignment="1">
      <alignment horizontal="center" vertical="center"/>
    </xf>
    <xf numFmtId="0" fontId="29" fillId="9" borderId="0" xfId="0" applyFont="1" applyFill="1" applyBorder="1" applyAlignment="1">
      <alignment horizontal="center" vertical="center"/>
    </xf>
    <xf numFmtId="0" fontId="0" fillId="10" borderId="0" xfId="0" applyFill="1" applyBorder="1"/>
    <xf numFmtId="0" fontId="0" fillId="13" borderId="0" xfId="0" applyFill="1" applyBorder="1"/>
    <xf numFmtId="0" fontId="21" fillId="13" borderId="0" xfId="0" applyFont="1" applyFill="1" applyBorder="1" applyAlignment="1">
      <alignment horizontal="center" vertical="center"/>
    </xf>
    <xf numFmtId="0" fontId="19" fillId="13" borderId="0" xfId="0" applyFont="1" applyFill="1" applyBorder="1" applyAlignment="1">
      <alignment horizontal="center" vertical="center"/>
    </xf>
    <xf numFmtId="0" fontId="20" fillId="13" borderId="0" xfId="0" applyFont="1" applyFill="1" applyBorder="1" applyAlignment="1">
      <alignment horizontal="center" vertical="center"/>
    </xf>
    <xf numFmtId="0" fontId="28" fillId="13" borderId="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28" fillId="10" borderId="0" xfId="0" applyFont="1" applyFill="1" applyBorder="1" applyAlignment="1">
      <alignment horizontal="center" vertical="center"/>
    </xf>
    <xf numFmtId="0" fontId="19" fillId="13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/>
    </xf>
  </cellXfs>
  <cellStyles count="18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Footnote" xfId="7" xr:uid="{00000000-0005-0000-0000-000006000000}"/>
    <cellStyle name="Good" xfId="8" xr:uid="{00000000-0005-0000-0000-000007000000}"/>
    <cellStyle name="Heading" xfId="9" xr:uid="{00000000-0005-0000-0000-000008000000}"/>
    <cellStyle name="Heading 1" xfId="10" xr:uid="{00000000-0005-0000-0000-000009000000}"/>
    <cellStyle name="Heading 2" xfId="11" xr:uid="{00000000-0005-0000-0000-00000A000000}"/>
    <cellStyle name="Hyperlink" xfId="12" xr:uid="{00000000-0005-0000-0000-00000B000000}"/>
    <cellStyle name="Neutral" xfId="13" xr:uid="{00000000-0005-0000-0000-00000C000000}"/>
    <cellStyle name="Note" xfId="14" xr:uid="{00000000-0005-0000-0000-00000D000000}"/>
    <cellStyle name="Status" xfId="15" xr:uid="{00000000-0005-0000-0000-00000E000000}"/>
    <cellStyle name="Text" xfId="16" xr:uid="{00000000-0005-0000-0000-00000F000000}"/>
    <cellStyle name="Warning" xfId="17" xr:uid="{00000000-0005-0000-0000-000010000000}"/>
    <cellStyle name="一般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134" Type="http://schemas.openxmlformats.org/officeDocument/2006/relationships/image" Target="../media/image134.png"/><Relationship Id="rId139" Type="http://schemas.openxmlformats.org/officeDocument/2006/relationships/image" Target="../media/image139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75.png"/><Relationship Id="rId21" Type="http://schemas.openxmlformats.org/officeDocument/2006/relationships/image" Target="../media/image65.png"/><Relationship Id="rId42" Type="http://schemas.openxmlformats.org/officeDocument/2006/relationships/image" Target="../media/image107.png"/><Relationship Id="rId47" Type="http://schemas.openxmlformats.org/officeDocument/2006/relationships/image" Target="../media/image115.png"/><Relationship Id="rId63" Type="http://schemas.openxmlformats.org/officeDocument/2006/relationships/image" Target="../media/image134.png"/><Relationship Id="rId68" Type="http://schemas.openxmlformats.org/officeDocument/2006/relationships/image" Target="../media/image143.png"/><Relationship Id="rId2" Type="http://schemas.openxmlformats.org/officeDocument/2006/relationships/image" Target="../media/image3.png"/><Relationship Id="rId16" Type="http://schemas.openxmlformats.org/officeDocument/2006/relationships/image" Target="../media/image49.png"/><Relationship Id="rId29" Type="http://schemas.openxmlformats.org/officeDocument/2006/relationships/image" Target="../media/image83.png"/><Relationship Id="rId11" Type="http://schemas.openxmlformats.org/officeDocument/2006/relationships/image" Target="../media/image31.png"/><Relationship Id="rId24" Type="http://schemas.openxmlformats.org/officeDocument/2006/relationships/image" Target="../media/image71.png"/><Relationship Id="rId32" Type="http://schemas.openxmlformats.org/officeDocument/2006/relationships/image" Target="../media/image88.png"/><Relationship Id="rId37" Type="http://schemas.openxmlformats.org/officeDocument/2006/relationships/image" Target="../media/image98.png"/><Relationship Id="rId40" Type="http://schemas.openxmlformats.org/officeDocument/2006/relationships/image" Target="../media/image104.png"/><Relationship Id="rId45" Type="http://schemas.openxmlformats.org/officeDocument/2006/relationships/image" Target="../media/image112.png"/><Relationship Id="rId53" Type="http://schemas.openxmlformats.org/officeDocument/2006/relationships/image" Target="../media/image122.png"/><Relationship Id="rId58" Type="http://schemas.openxmlformats.org/officeDocument/2006/relationships/image" Target="../media/image127.png"/><Relationship Id="rId66" Type="http://schemas.openxmlformats.org/officeDocument/2006/relationships/image" Target="../media/image140.png"/><Relationship Id="rId5" Type="http://schemas.openxmlformats.org/officeDocument/2006/relationships/image" Target="../media/image11.png"/><Relationship Id="rId61" Type="http://schemas.openxmlformats.org/officeDocument/2006/relationships/image" Target="../media/image131.png"/><Relationship Id="rId19" Type="http://schemas.openxmlformats.org/officeDocument/2006/relationships/image" Target="../media/image57.png"/><Relationship Id="rId14" Type="http://schemas.openxmlformats.org/officeDocument/2006/relationships/image" Target="../media/image41.png"/><Relationship Id="rId22" Type="http://schemas.openxmlformats.org/officeDocument/2006/relationships/image" Target="../media/image67.png"/><Relationship Id="rId27" Type="http://schemas.openxmlformats.org/officeDocument/2006/relationships/image" Target="../media/image77.png"/><Relationship Id="rId30" Type="http://schemas.openxmlformats.org/officeDocument/2006/relationships/image" Target="../media/image86.png"/><Relationship Id="rId35" Type="http://schemas.openxmlformats.org/officeDocument/2006/relationships/image" Target="../media/image94.png"/><Relationship Id="rId43" Type="http://schemas.openxmlformats.org/officeDocument/2006/relationships/image" Target="../media/image109.png"/><Relationship Id="rId48" Type="http://schemas.openxmlformats.org/officeDocument/2006/relationships/image" Target="../media/image116.png"/><Relationship Id="rId56" Type="http://schemas.openxmlformats.org/officeDocument/2006/relationships/image" Target="../media/image125.png"/><Relationship Id="rId64" Type="http://schemas.openxmlformats.org/officeDocument/2006/relationships/image" Target="../media/image136.png"/><Relationship Id="rId69" Type="http://schemas.openxmlformats.org/officeDocument/2006/relationships/image" Target="../media/image145.png"/><Relationship Id="rId8" Type="http://schemas.openxmlformats.org/officeDocument/2006/relationships/image" Target="../media/image18.png"/><Relationship Id="rId51" Type="http://schemas.openxmlformats.org/officeDocument/2006/relationships/image" Target="../media/image119.png"/><Relationship Id="rId72" Type="http://schemas.openxmlformats.org/officeDocument/2006/relationships/image" Target="../media/image150.png"/><Relationship Id="rId3" Type="http://schemas.openxmlformats.org/officeDocument/2006/relationships/image" Target="../media/image5.png"/><Relationship Id="rId12" Type="http://schemas.openxmlformats.org/officeDocument/2006/relationships/image" Target="../media/image34.png"/><Relationship Id="rId17" Type="http://schemas.openxmlformats.org/officeDocument/2006/relationships/image" Target="../media/image52.png"/><Relationship Id="rId25" Type="http://schemas.openxmlformats.org/officeDocument/2006/relationships/image" Target="../media/image73.png"/><Relationship Id="rId33" Type="http://schemas.openxmlformats.org/officeDocument/2006/relationships/image" Target="../media/image90.png"/><Relationship Id="rId38" Type="http://schemas.openxmlformats.org/officeDocument/2006/relationships/image" Target="../media/image100.png"/><Relationship Id="rId46" Type="http://schemas.openxmlformats.org/officeDocument/2006/relationships/image" Target="../media/image113.png"/><Relationship Id="rId59" Type="http://schemas.openxmlformats.org/officeDocument/2006/relationships/image" Target="../media/image128.png"/><Relationship Id="rId67" Type="http://schemas.openxmlformats.org/officeDocument/2006/relationships/image" Target="../media/image142.png"/><Relationship Id="rId20" Type="http://schemas.openxmlformats.org/officeDocument/2006/relationships/image" Target="../media/image60.png"/><Relationship Id="rId41" Type="http://schemas.openxmlformats.org/officeDocument/2006/relationships/image" Target="../media/image105.png"/><Relationship Id="rId54" Type="http://schemas.openxmlformats.org/officeDocument/2006/relationships/image" Target="../media/image123.png"/><Relationship Id="rId62" Type="http://schemas.openxmlformats.org/officeDocument/2006/relationships/image" Target="../media/image133.png"/><Relationship Id="rId70" Type="http://schemas.openxmlformats.org/officeDocument/2006/relationships/image" Target="../media/image147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15" Type="http://schemas.openxmlformats.org/officeDocument/2006/relationships/image" Target="../media/image44.png"/><Relationship Id="rId23" Type="http://schemas.openxmlformats.org/officeDocument/2006/relationships/image" Target="../media/image69.png"/><Relationship Id="rId28" Type="http://schemas.openxmlformats.org/officeDocument/2006/relationships/image" Target="../media/image80.png"/><Relationship Id="rId36" Type="http://schemas.openxmlformats.org/officeDocument/2006/relationships/image" Target="../media/image96.png"/><Relationship Id="rId49" Type="http://schemas.openxmlformats.org/officeDocument/2006/relationships/image" Target="../media/image117.png"/><Relationship Id="rId57" Type="http://schemas.openxmlformats.org/officeDocument/2006/relationships/image" Target="../media/image126.png"/><Relationship Id="rId10" Type="http://schemas.openxmlformats.org/officeDocument/2006/relationships/image" Target="../media/image28.png"/><Relationship Id="rId31" Type="http://schemas.openxmlformats.org/officeDocument/2006/relationships/image" Target="../media/image87.png"/><Relationship Id="rId44" Type="http://schemas.openxmlformats.org/officeDocument/2006/relationships/image" Target="../media/image111.png"/><Relationship Id="rId52" Type="http://schemas.openxmlformats.org/officeDocument/2006/relationships/image" Target="../media/image121.png"/><Relationship Id="rId60" Type="http://schemas.openxmlformats.org/officeDocument/2006/relationships/image" Target="../media/image129.png"/><Relationship Id="rId65" Type="http://schemas.openxmlformats.org/officeDocument/2006/relationships/image" Target="../media/image138.png"/><Relationship Id="rId73" Type="http://schemas.openxmlformats.org/officeDocument/2006/relationships/image" Target="../media/image152.png"/><Relationship Id="rId4" Type="http://schemas.openxmlformats.org/officeDocument/2006/relationships/image" Target="../media/image8.png"/><Relationship Id="rId9" Type="http://schemas.openxmlformats.org/officeDocument/2006/relationships/image" Target="../media/image25.png"/><Relationship Id="rId13" Type="http://schemas.openxmlformats.org/officeDocument/2006/relationships/image" Target="../media/image38.png"/><Relationship Id="rId18" Type="http://schemas.openxmlformats.org/officeDocument/2006/relationships/image" Target="../media/image54.png"/><Relationship Id="rId39" Type="http://schemas.openxmlformats.org/officeDocument/2006/relationships/image" Target="../media/image102.png"/><Relationship Id="rId34" Type="http://schemas.openxmlformats.org/officeDocument/2006/relationships/image" Target="../media/image92.png"/><Relationship Id="rId50" Type="http://schemas.openxmlformats.org/officeDocument/2006/relationships/image" Target="../media/image118.png"/><Relationship Id="rId55" Type="http://schemas.openxmlformats.org/officeDocument/2006/relationships/image" Target="../media/image124.png"/><Relationship Id="rId7" Type="http://schemas.openxmlformats.org/officeDocument/2006/relationships/image" Target="../media/image16.png"/><Relationship Id="rId71" Type="http://schemas.openxmlformats.org/officeDocument/2006/relationships/image" Target="../media/image149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7.png"/><Relationship Id="rId18" Type="http://schemas.openxmlformats.org/officeDocument/2006/relationships/image" Target="../media/image50.png"/><Relationship Id="rId26" Type="http://schemas.openxmlformats.org/officeDocument/2006/relationships/image" Target="../media/image81.png"/><Relationship Id="rId39" Type="http://schemas.openxmlformats.org/officeDocument/2006/relationships/image" Target="../media/image114.png"/><Relationship Id="rId21" Type="http://schemas.openxmlformats.org/officeDocument/2006/relationships/image" Target="../media/image58.png"/><Relationship Id="rId34" Type="http://schemas.openxmlformats.org/officeDocument/2006/relationships/image" Target="../media/image101.png"/><Relationship Id="rId42" Type="http://schemas.openxmlformats.org/officeDocument/2006/relationships/image" Target="../media/image132.png"/><Relationship Id="rId47" Type="http://schemas.openxmlformats.org/officeDocument/2006/relationships/image" Target="../media/image144.png"/><Relationship Id="rId50" Type="http://schemas.openxmlformats.org/officeDocument/2006/relationships/image" Target="../media/image151.png"/><Relationship Id="rId7" Type="http://schemas.openxmlformats.org/officeDocument/2006/relationships/image" Target="../media/image21.png"/><Relationship Id="rId2" Type="http://schemas.openxmlformats.org/officeDocument/2006/relationships/image" Target="../media/image4.png"/><Relationship Id="rId16" Type="http://schemas.openxmlformats.org/officeDocument/2006/relationships/image" Target="../media/image45.png"/><Relationship Id="rId29" Type="http://schemas.openxmlformats.org/officeDocument/2006/relationships/image" Target="../media/image91.png"/><Relationship Id="rId11" Type="http://schemas.openxmlformats.org/officeDocument/2006/relationships/image" Target="../media/image32.png"/><Relationship Id="rId24" Type="http://schemas.openxmlformats.org/officeDocument/2006/relationships/image" Target="../media/image72.png"/><Relationship Id="rId32" Type="http://schemas.openxmlformats.org/officeDocument/2006/relationships/image" Target="../media/image97.png"/><Relationship Id="rId37" Type="http://schemas.openxmlformats.org/officeDocument/2006/relationships/image" Target="../media/image108.png"/><Relationship Id="rId40" Type="http://schemas.openxmlformats.org/officeDocument/2006/relationships/image" Target="../media/image120.png"/><Relationship Id="rId45" Type="http://schemas.openxmlformats.org/officeDocument/2006/relationships/image" Target="../media/image139.png"/><Relationship Id="rId5" Type="http://schemas.openxmlformats.org/officeDocument/2006/relationships/image" Target="../media/image14.png"/><Relationship Id="rId15" Type="http://schemas.openxmlformats.org/officeDocument/2006/relationships/image" Target="../media/image42.png"/><Relationship Id="rId23" Type="http://schemas.openxmlformats.org/officeDocument/2006/relationships/image" Target="../media/image63.png"/><Relationship Id="rId28" Type="http://schemas.openxmlformats.org/officeDocument/2006/relationships/image" Target="../media/image89.png"/><Relationship Id="rId36" Type="http://schemas.openxmlformats.org/officeDocument/2006/relationships/image" Target="../media/image106.png"/><Relationship Id="rId49" Type="http://schemas.openxmlformats.org/officeDocument/2006/relationships/image" Target="../media/image148.png"/><Relationship Id="rId10" Type="http://schemas.openxmlformats.org/officeDocument/2006/relationships/image" Target="../media/image29.png"/><Relationship Id="rId19" Type="http://schemas.openxmlformats.org/officeDocument/2006/relationships/image" Target="../media/image53.png"/><Relationship Id="rId31" Type="http://schemas.openxmlformats.org/officeDocument/2006/relationships/image" Target="../media/image95.png"/><Relationship Id="rId44" Type="http://schemas.openxmlformats.org/officeDocument/2006/relationships/image" Target="../media/image13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Relationship Id="rId14" Type="http://schemas.openxmlformats.org/officeDocument/2006/relationships/image" Target="../media/image39.png"/><Relationship Id="rId22" Type="http://schemas.openxmlformats.org/officeDocument/2006/relationships/image" Target="../media/image61.png"/><Relationship Id="rId27" Type="http://schemas.openxmlformats.org/officeDocument/2006/relationships/image" Target="../media/image84.png"/><Relationship Id="rId30" Type="http://schemas.openxmlformats.org/officeDocument/2006/relationships/image" Target="../media/image93.png"/><Relationship Id="rId35" Type="http://schemas.openxmlformats.org/officeDocument/2006/relationships/image" Target="../media/image103.png"/><Relationship Id="rId43" Type="http://schemas.openxmlformats.org/officeDocument/2006/relationships/image" Target="../media/image135.png"/><Relationship Id="rId48" Type="http://schemas.openxmlformats.org/officeDocument/2006/relationships/image" Target="../media/image146.png"/><Relationship Id="rId8" Type="http://schemas.openxmlformats.org/officeDocument/2006/relationships/image" Target="../media/image23.png"/><Relationship Id="rId3" Type="http://schemas.openxmlformats.org/officeDocument/2006/relationships/image" Target="../media/image6.png"/><Relationship Id="rId12" Type="http://schemas.openxmlformats.org/officeDocument/2006/relationships/image" Target="../media/image35.png"/><Relationship Id="rId17" Type="http://schemas.openxmlformats.org/officeDocument/2006/relationships/image" Target="../media/image47.png"/><Relationship Id="rId25" Type="http://schemas.openxmlformats.org/officeDocument/2006/relationships/image" Target="../media/image78.png"/><Relationship Id="rId33" Type="http://schemas.openxmlformats.org/officeDocument/2006/relationships/image" Target="../media/image99.png"/><Relationship Id="rId38" Type="http://schemas.openxmlformats.org/officeDocument/2006/relationships/image" Target="../media/image110.png"/><Relationship Id="rId46" Type="http://schemas.openxmlformats.org/officeDocument/2006/relationships/image" Target="../media/image141.png"/><Relationship Id="rId20" Type="http://schemas.openxmlformats.org/officeDocument/2006/relationships/image" Target="../media/image55.png"/><Relationship Id="rId41" Type="http://schemas.openxmlformats.org/officeDocument/2006/relationships/image" Target="../media/image130.png"/><Relationship Id="rId1" Type="http://schemas.openxmlformats.org/officeDocument/2006/relationships/image" Target="../media/image2.png"/><Relationship Id="rId6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475869" cy="313944"/>
    <xdr:pic>
      <xdr:nvPicPr>
        <xdr:cNvPr id="2" name="image17.png">
          <a:extLst>
            <a:ext uri="{FF2B5EF4-FFF2-40B4-BE49-F238E27FC236}">
              <a16:creationId xmlns:a16="http://schemas.microsoft.com/office/drawing/2014/main" id="{8C5C7503-DFC7-4F99-B5C2-DD12F4997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2095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1</xdr:row>
      <xdr:rowOff>0</xdr:rowOff>
    </xdr:from>
    <xdr:ext cx="475869" cy="313944"/>
    <xdr:pic>
      <xdr:nvPicPr>
        <xdr:cNvPr id="3" name="image4.png">
          <a:extLst>
            <a:ext uri="{FF2B5EF4-FFF2-40B4-BE49-F238E27FC236}">
              <a16:creationId xmlns:a16="http://schemas.microsoft.com/office/drawing/2014/main" id="{5EE5949F-380D-45FC-9DFA-2676034A3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lum/>
          <a:alphaModFix/>
        </a:blip>
        <a:srcRect/>
        <a:stretch>
          <a:fillRect/>
        </a:stretch>
      </xdr:blipFill>
      <xdr:spPr>
        <a:xfrm>
          <a:off x="2181225" y="2095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</xdr:row>
      <xdr:rowOff>0</xdr:rowOff>
    </xdr:from>
    <xdr:ext cx="466217" cy="313944"/>
    <xdr:pic>
      <xdr:nvPicPr>
        <xdr:cNvPr id="4" name="image19.png">
          <a:extLst>
            <a:ext uri="{FF2B5EF4-FFF2-40B4-BE49-F238E27FC236}">
              <a16:creationId xmlns:a16="http://schemas.microsoft.com/office/drawing/2014/main" id="{0A5FEF0B-EEF6-4A17-A658-4654AF418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lum/>
          <a:alphaModFix/>
        </a:blip>
        <a:srcRect/>
        <a:stretch>
          <a:fillRect/>
        </a:stretch>
      </xdr:blipFill>
      <xdr:spPr>
        <a:xfrm>
          <a:off x="0" y="5238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2</xdr:row>
      <xdr:rowOff>0</xdr:rowOff>
    </xdr:from>
    <xdr:ext cx="475869" cy="313944"/>
    <xdr:pic>
      <xdr:nvPicPr>
        <xdr:cNvPr id="5" name="image20.png">
          <a:extLst>
            <a:ext uri="{FF2B5EF4-FFF2-40B4-BE49-F238E27FC236}">
              <a16:creationId xmlns:a16="http://schemas.microsoft.com/office/drawing/2014/main" id="{56357212-2254-42A7-94DC-D5DEE24A1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lum/>
          <a:alphaModFix/>
        </a:blip>
        <a:srcRect/>
        <a:stretch>
          <a:fillRect/>
        </a:stretch>
      </xdr:blipFill>
      <xdr:spPr>
        <a:xfrm>
          <a:off x="2181225" y="5238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</xdr:row>
      <xdr:rowOff>0</xdr:rowOff>
    </xdr:from>
    <xdr:ext cx="475869" cy="313944"/>
    <xdr:pic>
      <xdr:nvPicPr>
        <xdr:cNvPr id="6" name="image12.png">
          <a:extLst>
            <a:ext uri="{FF2B5EF4-FFF2-40B4-BE49-F238E27FC236}">
              <a16:creationId xmlns:a16="http://schemas.microsoft.com/office/drawing/2014/main" id="{7981ACD7-B6DD-4EBE-BAAB-C387A8071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lum/>
          <a:alphaModFix/>
        </a:blip>
        <a:srcRect/>
        <a:stretch>
          <a:fillRect/>
        </a:stretch>
      </xdr:blipFill>
      <xdr:spPr>
        <a:xfrm>
          <a:off x="0" y="8382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3</xdr:row>
      <xdr:rowOff>0</xdr:rowOff>
    </xdr:from>
    <xdr:ext cx="475869" cy="313944"/>
    <xdr:pic>
      <xdr:nvPicPr>
        <xdr:cNvPr id="7" name="image18.png">
          <a:extLst>
            <a:ext uri="{FF2B5EF4-FFF2-40B4-BE49-F238E27FC236}">
              <a16:creationId xmlns:a16="http://schemas.microsoft.com/office/drawing/2014/main" id="{4ACF223F-678A-4D27-AEB6-F2FC04088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lum/>
          <a:alphaModFix/>
        </a:blip>
        <a:srcRect/>
        <a:stretch>
          <a:fillRect/>
        </a:stretch>
      </xdr:blipFill>
      <xdr:spPr>
        <a:xfrm>
          <a:off x="2181225" y="8382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3</xdr:row>
      <xdr:rowOff>0</xdr:rowOff>
    </xdr:from>
    <xdr:ext cx="475869" cy="313944"/>
    <xdr:pic>
      <xdr:nvPicPr>
        <xdr:cNvPr id="8" name="image5.png">
          <a:extLst>
            <a:ext uri="{FF2B5EF4-FFF2-40B4-BE49-F238E27FC236}">
              <a16:creationId xmlns:a16="http://schemas.microsoft.com/office/drawing/2014/main" id="{EC6829BE-0694-4A93-B1F1-97DE02FC2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lum/>
          <a:alphaModFix/>
        </a:blip>
        <a:srcRect/>
        <a:stretch>
          <a:fillRect/>
        </a:stretch>
      </xdr:blipFill>
      <xdr:spPr>
        <a:xfrm>
          <a:off x="4591050" y="8382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</xdr:row>
      <xdr:rowOff>0</xdr:rowOff>
    </xdr:from>
    <xdr:ext cx="475869" cy="313944"/>
    <xdr:pic>
      <xdr:nvPicPr>
        <xdr:cNvPr id="9" name="image11.png">
          <a:extLst>
            <a:ext uri="{FF2B5EF4-FFF2-40B4-BE49-F238E27FC236}">
              <a16:creationId xmlns:a16="http://schemas.microsoft.com/office/drawing/2014/main" id="{A33924A3-B2BF-4F3C-934F-7424DAC70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lum/>
          <a:alphaModFix/>
        </a:blip>
        <a:srcRect/>
        <a:stretch>
          <a:fillRect/>
        </a:stretch>
      </xdr:blipFill>
      <xdr:spPr>
        <a:xfrm>
          <a:off x="0" y="11525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4</xdr:row>
      <xdr:rowOff>0</xdr:rowOff>
    </xdr:from>
    <xdr:ext cx="466217" cy="313944"/>
    <xdr:pic>
      <xdr:nvPicPr>
        <xdr:cNvPr id="10" name="image6.png">
          <a:extLst>
            <a:ext uri="{FF2B5EF4-FFF2-40B4-BE49-F238E27FC236}">
              <a16:creationId xmlns:a16="http://schemas.microsoft.com/office/drawing/2014/main" id="{AFB4F239-9F0F-41DE-8D4D-94CAF188B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lum/>
          <a:alphaModFix/>
        </a:blip>
        <a:srcRect/>
        <a:stretch>
          <a:fillRect/>
        </a:stretch>
      </xdr:blipFill>
      <xdr:spPr>
        <a:xfrm>
          <a:off x="2181225" y="11525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4</xdr:row>
      <xdr:rowOff>0</xdr:rowOff>
    </xdr:from>
    <xdr:ext cx="466217" cy="313944"/>
    <xdr:pic>
      <xdr:nvPicPr>
        <xdr:cNvPr id="11" name="image13.png">
          <a:extLst>
            <a:ext uri="{FF2B5EF4-FFF2-40B4-BE49-F238E27FC236}">
              <a16:creationId xmlns:a16="http://schemas.microsoft.com/office/drawing/2014/main" id="{009B8BD2-28D7-4080-B41E-E267993B2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lum/>
          <a:alphaModFix/>
        </a:blip>
        <a:srcRect/>
        <a:stretch>
          <a:fillRect/>
        </a:stretch>
      </xdr:blipFill>
      <xdr:spPr>
        <a:xfrm>
          <a:off x="4591050" y="11525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</xdr:row>
      <xdr:rowOff>0</xdr:rowOff>
    </xdr:from>
    <xdr:ext cx="475869" cy="313944"/>
    <xdr:pic>
      <xdr:nvPicPr>
        <xdr:cNvPr id="12" name="image15.png">
          <a:extLst>
            <a:ext uri="{FF2B5EF4-FFF2-40B4-BE49-F238E27FC236}">
              <a16:creationId xmlns:a16="http://schemas.microsoft.com/office/drawing/2014/main" id="{C28FCD54-C397-47FD-A894-4C4C7C652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lum/>
          <a:alphaModFix/>
        </a:blip>
        <a:srcRect/>
        <a:stretch>
          <a:fillRect/>
        </a:stretch>
      </xdr:blipFill>
      <xdr:spPr>
        <a:xfrm>
          <a:off x="0" y="14668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5</xdr:row>
      <xdr:rowOff>0</xdr:rowOff>
    </xdr:from>
    <xdr:ext cx="475869" cy="313944"/>
    <xdr:pic>
      <xdr:nvPicPr>
        <xdr:cNvPr id="13" name="image7.png">
          <a:extLst>
            <a:ext uri="{FF2B5EF4-FFF2-40B4-BE49-F238E27FC236}">
              <a16:creationId xmlns:a16="http://schemas.microsoft.com/office/drawing/2014/main" id="{5C34D5F5-4FDE-4D67-A2B1-65BB33E87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lum/>
          <a:alphaModFix/>
        </a:blip>
        <a:srcRect/>
        <a:stretch>
          <a:fillRect/>
        </a:stretch>
      </xdr:blipFill>
      <xdr:spPr>
        <a:xfrm>
          <a:off x="4591050" y="14668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</xdr:row>
      <xdr:rowOff>0</xdr:rowOff>
    </xdr:from>
    <xdr:ext cx="475869" cy="313944"/>
    <xdr:pic>
      <xdr:nvPicPr>
        <xdr:cNvPr id="14" name="image9.png">
          <a:extLst>
            <a:ext uri="{FF2B5EF4-FFF2-40B4-BE49-F238E27FC236}">
              <a16:creationId xmlns:a16="http://schemas.microsoft.com/office/drawing/2014/main" id="{3E7652E6-DFA2-495A-83CD-42E551B1C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lum/>
          <a:alphaModFix/>
        </a:blip>
        <a:srcRect/>
        <a:stretch>
          <a:fillRect/>
        </a:stretch>
      </xdr:blipFill>
      <xdr:spPr>
        <a:xfrm>
          <a:off x="0" y="17811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6</xdr:row>
      <xdr:rowOff>0</xdr:rowOff>
    </xdr:from>
    <xdr:ext cx="475869" cy="313944"/>
    <xdr:pic>
      <xdr:nvPicPr>
        <xdr:cNvPr id="15" name="image2.png">
          <a:extLst>
            <a:ext uri="{FF2B5EF4-FFF2-40B4-BE49-F238E27FC236}">
              <a16:creationId xmlns:a16="http://schemas.microsoft.com/office/drawing/2014/main" id="{1BDA4529-84B3-412D-BFB6-17A94BA5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lum/>
          <a:alphaModFix/>
        </a:blip>
        <a:srcRect/>
        <a:stretch>
          <a:fillRect/>
        </a:stretch>
      </xdr:blipFill>
      <xdr:spPr>
        <a:xfrm>
          <a:off x="2181225" y="17811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6</xdr:row>
      <xdr:rowOff>0</xdr:rowOff>
    </xdr:from>
    <xdr:ext cx="475869" cy="313944"/>
    <xdr:pic>
      <xdr:nvPicPr>
        <xdr:cNvPr id="16" name="image8.png">
          <a:extLst>
            <a:ext uri="{FF2B5EF4-FFF2-40B4-BE49-F238E27FC236}">
              <a16:creationId xmlns:a16="http://schemas.microsoft.com/office/drawing/2014/main" id="{25AD2795-5DE3-4918-A176-154933A6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lum/>
          <a:alphaModFix/>
        </a:blip>
        <a:srcRect/>
        <a:stretch>
          <a:fillRect/>
        </a:stretch>
      </xdr:blipFill>
      <xdr:spPr>
        <a:xfrm>
          <a:off x="4591050" y="17811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</xdr:row>
      <xdr:rowOff>0</xdr:rowOff>
    </xdr:from>
    <xdr:ext cx="475869" cy="313944"/>
    <xdr:pic>
      <xdr:nvPicPr>
        <xdr:cNvPr id="17" name="image3.png">
          <a:extLst>
            <a:ext uri="{FF2B5EF4-FFF2-40B4-BE49-F238E27FC236}">
              <a16:creationId xmlns:a16="http://schemas.microsoft.com/office/drawing/2014/main" id="{0E78FE1F-7FF4-4739-804C-A297183FC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lum/>
          <a:alphaModFix/>
        </a:blip>
        <a:srcRect/>
        <a:stretch>
          <a:fillRect/>
        </a:stretch>
      </xdr:blipFill>
      <xdr:spPr>
        <a:xfrm>
          <a:off x="0" y="20955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7</xdr:row>
      <xdr:rowOff>0</xdr:rowOff>
    </xdr:from>
    <xdr:ext cx="475869" cy="313944"/>
    <xdr:pic>
      <xdr:nvPicPr>
        <xdr:cNvPr id="18" name="image16.png">
          <a:extLst>
            <a:ext uri="{FF2B5EF4-FFF2-40B4-BE49-F238E27FC236}">
              <a16:creationId xmlns:a16="http://schemas.microsoft.com/office/drawing/2014/main" id="{9CE47C90-AB52-4CD0-B96E-88A4C9F34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lum/>
          <a:alphaModFix/>
        </a:blip>
        <a:srcRect/>
        <a:stretch>
          <a:fillRect/>
        </a:stretch>
      </xdr:blipFill>
      <xdr:spPr>
        <a:xfrm>
          <a:off x="4591050" y="20955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8</xdr:row>
      <xdr:rowOff>0</xdr:rowOff>
    </xdr:from>
    <xdr:ext cx="466217" cy="313944"/>
    <xdr:pic>
      <xdr:nvPicPr>
        <xdr:cNvPr id="19" name="image10.png">
          <a:extLst>
            <a:ext uri="{FF2B5EF4-FFF2-40B4-BE49-F238E27FC236}">
              <a16:creationId xmlns:a16="http://schemas.microsoft.com/office/drawing/2014/main" id="{EA3ECA93-45F6-4EC5-9836-52198890D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lum/>
          <a:alphaModFix/>
        </a:blip>
        <a:srcRect/>
        <a:stretch>
          <a:fillRect/>
        </a:stretch>
      </xdr:blipFill>
      <xdr:spPr>
        <a:xfrm>
          <a:off x="0" y="24098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8</xdr:row>
      <xdr:rowOff>0</xdr:rowOff>
    </xdr:from>
    <xdr:ext cx="475869" cy="313944"/>
    <xdr:pic>
      <xdr:nvPicPr>
        <xdr:cNvPr id="20" name="image14.png">
          <a:extLst>
            <a:ext uri="{FF2B5EF4-FFF2-40B4-BE49-F238E27FC236}">
              <a16:creationId xmlns:a16="http://schemas.microsoft.com/office/drawing/2014/main" id="{EB2CFAAE-426B-434D-89C2-BC5AC536B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lum/>
          <a:alphaModFix/>
        </a:blip>
        <a:srcRect/>
        <a:stretch>
          <a:fillRect/>
        </a:stretch>
      </xdr:blipFill>
      <xdr:spPr>
        <a:xfrm>
          <a:off x="2181225" y="24098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8</xdr:row>
      <xdr:rowOff>0</xdr:rowOff>
    </xdr:from>
    <xdr:ext cx="475869" cy="313944"/>
    <xdr:pic>
      <xdr:nvPicPr>
        <xdr:cNvPr id="21" name="image1.png">
          <a:extLst>
            <a:ext uri="{FF2B5EF4-FFF2-40B4-BE49-F238E27FC236}">
              <a16:creationId xmlns:a16="http://schemas.microsoft.com/office/drawing/2014/main" id="{C22B58AF-7C94-4E1A-B78F-96DC41DA5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lum/>
          <a:alphaModFix/>
        </a:blip>
        <a:srcRect/>
        <a:stretch>
          <a:fillRect/>
        </a:stretch>
      </xdr:blipFill>
      <xdr:spPr>
        <a:xfrm>
          <a:off x="4591050" y="24098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9</xdr:row>
      <xdr:rowOff>0</xdr:rowOff>
    </xdr:from>
    <xdr:ext cx="475869" cy="313944"/>
    <xdr:pic>
      <xdr:nvPicPr>
        <xdr:cNvPr id="22" name="image54.png">
          <a:extLst>
            <a:ext uri="{FF2B5EF4-FFF2-40B4-BE49-F238E27FC236}">
              <a16:creationId xmlns:a16="http://schemas.microsoft.com/office/drawing/2014/main" id="{B090B6B1-FE40-4230-9572-94753F57A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lum/>
          <a:alphaModFix/>
        </a:blip>
        <a:srcRect/>
        <a:stretch>
          <a:fillRect/>
        </a:stretch>
      </xdr:blipFill>
      <xdr:spPr>
        <a:xfrm>
          <a:off x="2181225" y="27241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9</xdr:row>
      <xdr:rowOff>0</xdr:rowOff>
    </xdr:from>
    <xdr:ext cx="475869" cy="313944"/>
    <xdr:pic>
      <xdr:nvPicPr>
        <xdr:cNvPr id="23" name="image21.png">
          <a:extLst>
            <a:ext uri="{FF2B5EF4-FFF2-40B4-BE49-F238E27FC236}">
              <a16:creationId xmlns:a16="http://schemas.microsoft.com/office/drawing/2014/main" id="{AB754867-0D6B-4E8F-9AA9-BAEB64726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lum/>
          <a:alphaModFix/>
        </a:blip>
        <a:srcRect/>
        <a:stretch>
          <a:fillRect/>
        </a:stretch>
      </xdr:blipFill>
      <xdr:spPr>
        <a:xfrm>
          <a:off x="4591050" y="27241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10</xdr:row>
      <xdr:rowOff>0</xdr:rowOff>
    </xdr:from>
    <xdr:ext cx="475869" cy="313944"/>
    <xdr:pic>
      <xdr:nvPicPr>
        <xdr:cNvPr id="24" name="image26.png">
          <a:extLst>
            <a:ext uri="{FF2B5EF4-FFF2-40B4-BE49-F238E27FC236}">
              <a16:creationId xmlns:a16="http://schemas.microsoft.com/office/drawing/2014/main" id="{A4748D43-8D2D-4114-80D3-0867D6EBF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lum/>
          <a:alphaModFix/>
        </a:blip>
        <a:srcRect/>
        <a:stretch>
          <a:fillRect/>
        </a:stretch>
      </xdr:blipFill>
      <xdr:spPr>
        <a:xfrm>
          <a:off x="2181225" y="30384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10</xdr:row>
      <xdr:rowOff>0</xdr:rowOff>
    </xdr:from>
    <xdr:ext cx="466217" cy="313944"/>
    <xdr:pic>
      <xdr:nvPicPr>
        <xdr:cNvPr id="25" name="image32.png">
          <a:extLst>
            <a:ext uri="{FF2B5EF4-FFF2-40B4-BE49-F238E27FC236}">
              <a16:creationId xmlns:a16="http://schemas.microsoft.com/office/drawing/2014/main" id="{D9C59061-8463-4261-A3C6-FBEC7EA0C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lum/>
          <a:alphaModFix/>
        </a:blip>
        <a:srcRect/>
        <a:stretch>
          <a:fillRect/>
        </a:stretch>
      </xdr:blipFill>
      <xdr:spPr>
        <a:xfrm>
          <a:off x="4591050" y="30384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11</xdr:row>
      <xdr:rowOff>0</xdr:rowOff>
    </xdr:from>
    <xdr:ext cx="475869" cy="313944"/>
    <xdr:pic>
      <xdr:nvPicPr>
        <xdr:cNvPr id="26" name="image29.png">
          <a:extLst>
            <a:ext uri="{FF2B5EF4-FFF2-40B4-BE49-F238E27FC236}">
              <a16:creationId xmlns:a16="http://schemas.microsoft.com/office/drawing/2014/main" id="{9E147A4A-E1C2-4616-A672-E51C9848D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lum/>
          <a:alphaModFix/>
        </a:blip>
        <a:srcRect/>
        <a:stretch>
          <a:fillRect/>
        </a:stretch>
      </xdr:blipFill>
      <xdr:spPr>
        <a:xfrm>
          <a:off x="0" y="33528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11</xdr:row>
      <xdr:rowOff>0</xdr:rowOff>
    </xdr:from>
    <xdr:ext cx="466217" cy="313944"/>
    <xdr:pic>
      <xdr:nvPicPr>
        <xdr:cNvPr id="27" name="image60.png">
          <a:extLst>
            <a:ext uri="{FF2B5EF4-FFF2-40B4-BE49-F238E27FC236}">
              <a16:creationId xmlns:a16="http://schemas.microsoft.com/office/drawing/2014/main" id="{70E538A1-7A03-444A-B029-7D179715D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lum/>
          <a:alphaModFix/>
        </a:blip>
        <a:srcRect/>
        <a:stretch>
          <a:fillRect/>
        </a:stretch>
      </xdr:blipFill>
      <xdr:spPr>
        <a:xfrm>
          <a:off x="2181225" y="335280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11</xdr:row>
      <xdr:rowOff>0</xdr:rowOff>
    </xdr:from>
    <xdr:ext cx="466217" cy="313944"/>
    <xdr:pic>
      <xdr:nvPicPr>
        <xdr:cNvPr id="28" name="image27.png">
          <a:extLst>
            <a:ext uri="{FF2B5EF4-FFF2-40B4-BE49-F238E27FC236}">
              <a16:creationId xmlns:a16="http://schemas.microsoft.com/office/drawing/2014/main" id="{D42FB10D-D696-49B6-BAAC-3EE1D7C70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lum/>
          <a:alphaModFix/>
        </a:blip>
        <a:srcRect/>
        <a:stretch>
          <a:fillRect/>
        </a:stretch>
      </xdr:blipFill>
      <xdr:spPr>
        <a:xfrm>
          <a:off x="4591050" y="335280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12</xdr:row>
      <xdr:rowOff>0</xdr:rowOff>
    </xdr:from>
    <xdr:ext cx="475869" cy="313944"/>
    <xdr:pic>
      <xdr:nvPicPr>
        <xdr:cNvPr id="29" name="image23.png">
          <a:extLst>
            <a:ext uri="{FF2B5EF4-FFF2-40B4-BE49-F238E27FC236}">
              <a16:creationId xmlns:a16="http://schemas.microsoft.com/office/drawing/2014/main" id="{DCAA65E7-2C2A-443C-849A-6C2F61EA6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lum/>
          <a:alphaModFix/>
        </a:blip>
        <a:srcRect/>
        <a:stretch>
          <a:fillRect/>
        </a:stretch>
      </xdr:blipFill>
      <xdr:spPr>
        <a:xfrm>
          <a:off x="0" y="36671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12</xdr:row>
      <xdr:rowOff>0</xdr:rowOff>
    </xdr:from>
    <xdr:ext cx="466217" cy="313944"/>
    <xdr:pic>
      <xdr:nvPicPr>
        <xdr:cNvPr id="30" name="image28.png">
          <a:extLst>
            <a:ext uri="{FF2B5EF4-FFF2-40B4-BE49-F238E27FC236}">
              <a16:creationId xmlns:a16="http://schemas.microsoft.com/office/drawing/2014/main" id="{B46E9B84-D1BF-4AB8-96DC-17BFE4BFC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lum/>
          <a:alphaModFix/>
        </a:blip>
        <a:srcRect/>
        <a:stretch>
          <a:fillRect/>
        </a:stretch>
      </xdr:blipFill>
      <xdr:spPr>
        <a:xfrm>
          <a:off x="2181225" y="36671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12</xdr:row>
      <xdr:rowOff>0</xdr:rowOff>
    </xdr:from>
    <xdr:ext cx="466217" cy="313944"/>
    <xdr:pic>
      <xdr:nvPicPr>
        <xdr:cNvPr id="31" name="image37.png">
          <a:extLst>
            <a:ext uri="{FF2B5EF4-FFF2-40B4-BE49-F238E27FC236}">
              <a16:creationId xmlns:a16="http://schemas.microsoft.com/office/drawing/2014/main" id="{436B6DD5-6EEE-4031-809D-838F1F2A9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lum/>
          <a:alphaModFix/>
        </a:blip>
        <a:srcRect/>
        <a:stretch>
          <a:fillRect/>
        </a:stretch>
      </xdr:blipFill>
      <xdr:spPr>
        <a:xfrm>
          <a:off x="4591050" y="36671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13</xdr:row>
      <xdr:rowOff>0</xdr:rowOff>
    </xdr:from>
    <xdr:ext cx="475869" cy="313944"/>
    <xdr:pic>
      <xdr:nvPicPr>
        <xdr:cNvPr id="32" name="image24.png">
          <a:extLst>
            <a:ext uri="{FF2B5EF4-FFF2-40B4-BE49-F238E27FC236}">
              <a16:creationId xmlns:a16="http://schemas.microsoft.com/office/drawing/2014/main" id="{5FB6E565-2D47-4A32-A0A7-315E07D1D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lum/>
          <a:alphaModFix/>
        </a:blip>
        <a:srcRect/>
        <a:stretch>
          <a:fillRect/>
        </a:stretch>
      </xdr:blipFill>
      <xdr:spPr>
        <a:xfrm>
          <a:off x="0" y="39814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13</xdr:row>
      <xdr:rowOff>0</xdr:rowOff>
    </xdr:from>
    <xdr:ext cx="475869" cy="313944"/>
    <xdr:pic>
      <xdr:nvPicPr>
        <xdr:cNvPr id="33" name="image33.png">
          <a:extLst>
            <a:ext uri="{FF2B5EF4-FFF2-40B4-BE49-F238E27FC236}">
              <a16:creationId xmlns:a16="http://schemas.microsoft.com/office/drawing/2014/main" id="{02F606C4-ABBC-43F0-9684-17280FD72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lum/>
          <a:alphaModFix/>
        </a:blip>
        <a:srcRect/>
        <a:stretch>
          <a:fillRect/>
        </a:stretch>
      </xdr:blipFill>
      <xdr:spPr>
        <a:xfrm>
          <a:off x="2181225" y="39814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13</xdr:row>
      <xdr:rowOff>0</xdr:rowOff>
    </xdr:from>
    <xdr:ext cx="466217" cy="313944"/>
    <xdr:pic>
      <xdr:nvPicPr>
        <xdr:cNvPr id="34" name="image35.png">
          <a:extLst>
            <a:ext uri="{FF2B5EF4-FFF2-40B4-BE49-F238E27FC236}">
              <a16:creationId xmlns:a16="http://schemas.microsoft.com/office/drawing/2014/main" id="{F96EDB0D-4C07-485C-BC89-7A8AF886F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lum/>
          <a:alphaModFix/>
        </a:blip>
        <a:srcRect/>
        <a:stretch>
          <a:fillRect/>
        </a:stretch>
      </xdr:blipFill>
      <xdr:spPr>
        <a:xfrm>
          <a:off x="4591050" y="398145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14</xdr:row>
      <xdr:rowOff>0</xdr:rowOff>
    </xdr:from>
    <xdr:ext cx="475869" cy="313944"/>
    <xdr:pic>
      <xdr:nvPicPr>
        <xdr:cNvPr id="35" name="image30.png">
          <a:extLst>
            <a:ext uri="{FF2B5EF4-FFF2-40B4-BE49-F238E27FC236}">
              <a16:creationId xmlns:a16="http://schemas.microsoft.com/office/drawing/2014/main" id="{54254BC2-9326-4F4A-BA56-22CC09C43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lum/>
          <a:alphaModFix/>
        </a:blip>
        <a:srcRect/>
        <a:stretch>
          <a:fillRect/>
        </a:stretch>
      </xdr:blipFill>
      <xdr:spPr>
        <a:xfrm>
          <a:off x="0" y="42957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14</xdr:row>
      <xdr:rowOff>0</xdr:rowOff>
    </xdr:from>
    <xdr:ext cx="475869" cy="313944"/>
    <xdr:pic>
      <xdr:nvPicPr>
        <xdr:cNvPr id="36" name="image25.png">
          <a:extLst>
            <a:ext uri="{FF2B5EF4-FFF2-40B4-BE49-F238E27FC236}">
              <a16:creationId xmlns:a16="http://schemas.microsoft.com/office/drawing/2014/main" id="{3A028162-A3D7-46CD-B9B3-372820A0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lum/>
          <a:alphaModFix/>
        </a:blip>
        <a:srcRect/>
        <a:stretch>
          <a:fillRect/>
        </a:stretch>
      </xdr:blipFill>
      <xdr:spPr>
        <a:xfrm>
          <a:off x="2181225" y="42957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14</xdr:row>
      <xdr:rowOff>0</xdr:rowOff>
    </xdr:from>
    <xdr:ext cx="466217" cy="313944"/>
    <xdr:pic>
      <xdr:nvPicPr>
        <xdr:cNvPr id="37" name="image22.png">
          <a:extLst>
            <a:ext uri="{FF2B5EF4-FFF2-40B4-BE49-F238E27FC236}">
              <a16:creationId xmlns:a16="http://schemas.microsoft.com/office/drawing/2014/main" id="{FF8373F0-A400-404B-A550-4EBC1DC83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lum/>
          <a:alphaModFix/>
        </a:blip>
        <a:srcRect/>
        <a:stretch>
          <a:fillRect/>
        </a:stretch>
      </xdr:blipFill>
      <xdr:spPr>
        <a:xfrm>
          <a:off x="4591050" y="42957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15</xdr:row>
      <xdr:rowOff>0</xdr:rowOff>
    </xdr:from>
    <xdr:ext cx="475869" cy="313944"/>
    <xdr:pic>
      <xdr:nvPicPr>
        <xdr:cNvPr id="38" name="image31.png">
          <a:extLst>
            <a:ext uri="{FF2B5EF4-FFF2-40B4-BE49-F238E27FC236}">
              <a16:creationId xmlns:a16="http://schemas.microsoft.com/office/drawing/2014/main" id="{55623B7E-782B-464C-B634-58DAB49FE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lum/>
          <a:alphaModFix/>
        </a:blip>
        <a:srcRect/>
        <a:stretch>
          <a:fillRect/>
        </a:stretch>
      </xdr:blipFill>
      <xdr:spPr>
        <a:xfrm>
          <a:off x="2181225" y="46101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16</xdr:row>
      <xdr:rowOff>0</xdr:rowOff>
    </xdr:from>
    <xdr:ext cx="475869" cy="313944"/>
    <xdr:pic>
      <xdr:nvPicPr>
        <xdr:cNvPr id="39" name="image38.png">
          <a:extLst>
            <a:ext uri="{FF2B5EF4-FFF2-40B4-BE49-F238E27FC236}">
              <a16:creationId xmlns:a16="http://schemas.microsoft.com/office/drawing/2014/main" id="{24942DC0-A994-492A-B3EA-2749241E3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lum/>
          <a:alphaModFix/>
        </a:blip>
        <a:srcRect/>
        <a:stretch>
          <a:fillRect/>
        </a:stretch>
      </xdr:blipFill>
      <xdr:spPr>
        <a:xfrm>
          <a:off x="0" y="49244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16</xdr:row>
      <xdr:rowOff>0</xdr:rowOff>
    </xdr:from>
    <xdr:ext cx="475869" cy="313944"/>
    <xdr:pic>
      <xdr:nvPicPr>
        <xdr:cNvPr id="40" name="image36.png">
          <a:extLst>
            <a:ext uri="{FF2B5EF4-FFF2-40B4-BE49-F238E27FC236}">
              <a16:creationId xmlns:a16="http://schemas.microsoft.com/office/drawing/2014/main" id="{33D0B196-CCBA-4147-818F-B303FF290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lum/>
          <a:alphaModFix/>
        </a:blip>
        <a:srcRect/>
        <a:stretch>
          <a:fillRect/>
        </a:stretch>
      </xdr:blipFill>
      <xdr:spPr>
        <a:xfrm>
          <a:off x="2181225" y="49244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16</xdr:row>
      <xdr:rowOff>0</xdr:rowOff>
    </xdr:from>
    <xdr:ext cx="475869" cy="313944"/>
    <xdr:pic>
      <xdr:nvPicPr>
        <xdr:cNvPr id="41" name="image34.png">
          <a:extLst>
            <a:ext uri="{FF2B5EF4-FFF2-40B4-BE49-F238E27FC236}">
              <a16:creationId xmlns:a16="http://schemas.microsoft.com/office/drawing/2014/main" id="{E820312C-C191-4D78-97AF-3B2EAAB3D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lum/>
          <a:alphaModFix/>
        </a:blip>
        <a:srcRect/>
        <a:stretch>
          <a:fillRect/>
        </a:stretch>
      </xdr:blipFill>
      <xdr:spPr>
        <a:xfrm>
          <a:off x="4591050" y="49244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17</xdr:row>
      <xdr:rowOff>0</xdr:rowOff>
    </xdr:from>
    <xdr:ext cx="466217" cy="313944"/>
    <xdr:pic>
      <xdr:nvPicPr>
        <xdr:cNvPr id="42" name="image47.png">
          <a:extLst>
            <a:ext uri="{FF2B5EF4-FFF2-40B4-BE49-F238E27FC236}">
              <a16:creationId xmlns:a16="http://schemas.microsoft.com/office/drawing/2014/main" id="{988DEF4C-12F1-4BC8-AEB1-550CFB066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lum/>
          <a:alphaModFix/>
        </a:blip>
        <a:srcRect/>
        <a:stretch>
          <a:fillRect/>
        </a:stretch>
      </xdr:blipFill>
      <xdr:spPr>
        <a:xfrm>
          <a:off x="0" y="523875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17</xdr:row>
      <xdr:rowOff>0</xdr:rowOff>
    </xdr:from>
    <xdr:ext cx="475869" cy="313944"/>
    <xdr:pic>
      <xdr:nvPicPr>
        <xdr:cNvPr id="43" name="image43.png">
          <a:extLst>
            <a:ext uri="{FF2B5EF4-FFF2-40B4-BE49-F238E27FC236}">
              <a16:creationId xmlns:a16="http://schemas.microsoft.com/office/drawing/2014/main" id="{0FB0C536-2253-439F-B0F4-2E48C2F09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lum/>
          <a:alphaModFix/>
        </a:blip>
        <a:srcRect/>
        <a:stretch>
          <a:fillRect/>
        </a:stretch>
      </xdr:blipFill>
      <xdr:spPr>
        <a:xfrm>
          <a:off x="2181225" y="52387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17</xdr:row>
      <xdr:rowOff>0</xdr:rowOff>
    </xdr:from>
    <xdr:ext cx="466217" cy="313944"/>
    <xdr:pic>
      <xdr:nvPicPr>
        <xdr:cNvPr id="44" name="image50.png">
          <a:extLst>
            <a:ext uri="{FF2B5EF4-FFF2-40B4-BE49-F238E27FC236}">
              <a16:creationId xmlns:a16="http://schemas.microsoft.com/office/drawing/2014/main" id="{B92DE5E1-5045-4019-BA03-7DEE23FE3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lum/>
          <a:alphaModFix/>
        </a:blip>
        <a:srcRect/>
        <a:stretch>
          <a:fillRect/>
        </a:stretch>
      </xdr:blipFill>
      <xdr:spPr>
        <a:xfrm>
          <a:off x="4591050" y="523875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18</xdr:row>
      <xdr:rowOff>0</xdr:rowOff>
    </xdr:from>
    <xdr:ext cx="475869" cy="313944"/>
    <xdr:pic>
      <xdr:nvPicPr>
        <xdr:cNvPr id="45" name="image45.png">
          <a:extLst>
            <a:ext uri="{FF2B5EF4-FFF2-40B4-BE49-F238E27FC236}">
              <a16:creationId xmlns:a16="http://schemas.microsoft.com/office/drawing/2014/main" id="{C7AA419B-8305-49E6-ACF3-ECB1124E8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lum/>
          <a:alphaModFix/>
        </a:blip>
        <a:srcRect/>
        <a:stretch>
          <a:fillRect/>
        </a:stretch>
      </xdr:blipFill>
      <xdr:spPr>
        <a:xfrm>
          <a:off x="0" y="55530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18</xdr:row>
      <xdr:rowOff>0</xdr:rowOff>
    </xdr:from>
    <xdr:ext cx="475869" cy="313944"/>
    <xdr:pic>
      <xdr:nvPicPr>
        <xdr:cNvPr id="46" name="image41.png">
          <a:extLst>
            <a:ext uri="{FF2B5EF4-FFF2-40B4-BE49-F238E27FC236}">
              <a16:creationId xmlns:a16="http://schemas.microsoft.com/office/drawing/2014/main" id="{07D57081-8861-4857-B380-EE6D79374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lum/>
          <a:alphaModFix/>
        </a:blip>
        <a:srcRect/>
        <a:stretch>
          <a:fillRect/>
        </a:stretch>
      </xdr:blipFill>
      <xdr:spPr>
        <a:xfrm>
          <a:off x="2181225" y="55530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18</xdr:row>
      <xdr:rowOff>0</xdr:rowOff>
    </xdr:from>
    <xdr:ext cx="466217" cy="313944"/>
    <xdr:pic>
      <xdr:nvPicPr>
        <xdr:cNvPr id="47" name="image40.png">
          <a:extLst>
            <a:ext uri="{FF2B5EF4-FFF2-40B4-BE49-F238E27FC236}">
              <a16:creationId xmlns:a16="http://schemas.microsoft.com/office/drawing/2014/main" id="{07C03DCC-F702-4638-A52D-EC32E08D3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lum/>
          <a:alphaModFix/>
        </a:blip>
        <a:srcRect/>
        <a:stretch>
          <a:fillRect/>
        </a:stretch>
      </xdr:blipFill>
      <xdr:spPr>
        <a:xfrm>
          <a:off x="4591050" y="55530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19</xdr:row>
      <xdr:rowOff>0</xdr:rowOff>
    </xdr:from>
    <xdr:ext cx="475869" cy="313944"/>
    <xdr:pic>
      <xdr:nvPicPr>
        <xdr:cNvPr id="48" name="image49.png">
          <a:extLst>
            <a:ext uri="{FF2B5EF4-FFF2-40B4-BE49-F238E27FC236}">
              <a16:creationId xmlns:a16="http://schemas.microsoft.com/office/drawing/2014/main" id="{15E7ADDA-C193-460E-9F10-AD72F2124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lum/>
          <a:alphaModFix/>
        </a:blip>
        <a:srcRect/>
        <a:stretch>
          <a:fillRect/>
        </a:stretch>
      </xdr:blipFill>
      <xdr:spPr>
        <a:xfrm>
          <a:off x="2181225" y="58674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19</xdr:row>
      <xdr:rowOff>0</xdr:rowOff>
    </xdr:from>
    <xdr:ext cx="466217" cy="313944"/>
    <xdr:pic>
      <xdr:nvPicPr>
        <xdr:cNvPr id="49" name="image39.png">
          <a:extLst>
            <a:ext uri="{FF2B5EF4-FFF2-40B4-BE49-F238E27FC236}">
              <a16:creationId xmlns:a16="http://schemas.microsoft.com/office/drawing/2014/main" id="{DB63D109-B7F2-4189-8796-6C92FE41E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lum/>
          <a:alphaModFix/>
        </a:blip>
        <a:srcRect/>
        <a:stretch>
          <a:fillRect/>
        </a:stretch>
      </xdr:blipFill>
      <xdr:spPr>
        <a:xfrm>
          <a:off x="4591050" y="586740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20</xdr:row>
      <xdr:rowOff>0</xdr:rowOff>
    </xdr:from>
    <xdr:ext cx="466217" cy="313944"/>
    <xdr:pic>
      <xdr:nvPicPr>
        <xdr:cNvPr id="50" name="image46.png">
          <a:extLst>
            <a:ext uri="{FF2B5EF4-FFF2-40B4-BE49-F238E27FC236}">
              <a16:creationId xmlns:a16="http://schemas.microsoft.com/office/drawing/2014/main" id="{695102B3-92E9-4D70-A180-ADF2A3D70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lum/>
          <a:alphaModFix/>
        </a:blip>
        <a:srcRect/>
        <a:stretch>
          <a:fillRect/>
        </a:stretch>
      </xdr:blipFill>
      <xdr:spPr>
        <a:xfrm>
          <a:off x="0" y="61817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20</xdr:row>
      <xdr:rowOff>0</xdr:rowOff>
    </xdr:from>
    <xdr:ext cx="475869" cy="313944"/>
    <xdr:pic>
      <xdr:nvPicPr>
        <xdr:cNvPr id="51" name="image44.png">
          <a:extLst>
            <a:ext uri="{FF2B5EF4-FFF2-40B4-BE49-F238E27FC236}">
              <a16:creationId xmlns:a16="http://schemas.microsoft.com/office/drawing/2014/main" id="{6F220895-4B13-4A37-AE6E-A7CE48F3E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lum/>
          <a:alphaModFix/>
        </a:blip>
        <a:srcRect/>
        <a:stretch>
          <a:fillRect/>
        </a:stretch>
      </xdr:blipFill>
      <xdr:spPr>
        <a:xfrm>
          <a:off x="2181225" y="61817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20</xdr:row>
      <xdr:rowOff>0</xdr:rowOff>
    </xdr:from>
    <xdr:ext cx="475869" cy="313944"/>
    <xdr:pic>
      <xdr:nvPicPr>
        <xdr:cNvPr id="52" name="image42.png">
          <a:extLst>
            <a:ext uri="{FF2B5EF4-FFF2-40B4-BE49-F238E27FC236}">
              <a16:creationId xmlns:a16="http://schemas.microsoft.com/office/drawing/2014/main" id="{CAB68AF6-0927-4CC3-AAA3-8F9E091AF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lum/>
          <a:alphaModFix/>
        </a:blip>
        <a:srcRect/>
        <a:stretch>
          <a:fillRect/>
        </a:stretch>
      </xdr:blipFill>
      <xdr:spPr>
        <a:xfrm>
          <a:off x="4591050" y="61817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21</xdr:row>
      <xdr:rowOff>0</xdr:rowOff>
    </xdr:from>
    <xdr:ext cx="475869" cy="313944"/>
    <xdr:pic>
      <xdr:nvPicPr>
        <xdr:cNvPr id="53" name="image48.png">
          <a:extLst>
            <a:ext uri="{FF2B5EF4-FFF2-40B4-BE49-F238E27FC236}">
              <a16:creationId xmlns:a16="http://schemas.microsoft.com/office/drawing/2014/main" id="{01A09F81-23C6-48F0-8FF9-A74CC2DC2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lum/>
          <a:alphaModFix/>
        </a:blip>
        <a:srcRect/>
        <a:stretch>
          <a:fillRect/>
        </a:stretch>
      </xdr:blipFill>
      <xdr:spPr>
        <a:xfrm>
          <a:off x="0" y="64960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21</xdr:row>
      <xdr:rowOff>0</xdr:rowOff>
    </xdr:from>
    <xdr:ext cx="475869" cy="313944"/>
    <xdr:pic>
      <xdr:nvPicPr>
        <xdr:cNvPr id="54" name="image66.png">
          <a:extLst>
            <a:ext uri="{FF2B5EF4-FFF2-40B4-BE49-F238E27FC236}">
              <a16:creationId xmlns:a16="http://schemas.microsoft.com/office/drawing/2014/main" id="{21A4C3EB-CC3F-4529-A965-3AA8AA85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>
          <a:lum/>
          <a:alphaModFix/>
        </a:blip>
        <a:srcRect/>
        <a:stretch>
          <a:fillRect/>
        </a:stretch>
      </xdr:blipFill>
      <xdr:spPr>
        <a:xfrm>
          <a:off x="2181225" y="64960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22</xdr:row>
      <xdr:rowOff>0</xdr:rowOff>
    </xdr:from>
    <xdr:ext cx="475869" cy="313944"/>
    <xdr:pic>
      <xdr:nvPicPr>
        <xdr:cNvPr id="55" name="image55.png">
          <a:extLst>
            <a:ext uri="{FF2B5EF4-FFF2-40B4-BE49-F238E27FC236}">
              <a16:creationId xmlns:a16="http://schemas.microsoft.com/office/drawing/2014/main" id="{8D3E4DFB-6F6F-49DA-983A-A9A64E6FC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>
          <a:lum/>
          <a:alphaModFix/>
        </a:blip>
        <a:srcRect/>
        <a:stretch>
          <a:fillRect/>
        </a:stretch>
      </xdr:blipFill>
      <xdr:spPr>
        <a:xfrm>
          <a:off x="0" y="68103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22</xdr:row>
      <xdr:rowOff>0</xdr:rowOff>
    </xdr:from>
    <xdr:ext cx="475869" cy="313944"/>
    <xdr:pic>
      <xdr:nvPicPr>
        <xdr:cNvPr id="56" name="image53.png">
          <a:extLst>
            <a:ext uri="{FF2B5EF4-FFF2-40B4-BE49-F238E27FC236}">
              <a16:creationId xmlns:a16="http://schemas.microsoft.com/office/drawing/2014/main" id="{7D0285F9-B6D0-47CF-9226-584029B70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lum/>
          <a:alphaModFix/>
        </a:blip>
        <a:srcRect/>
        <a:stretch>
          <a:fillRect/>
        </a:stretch>
      </xdr:blipFill>
      <xdr:spPr>
        <a:xfrm>
          <a:off x="2181225" y="68103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22</xdr:row>
      <xdr:rowOff>0</xdr:rowOff>
    </xdr:from>
    <xdr:ext cx="466217" cy="313944"/>
    <xdr:pic>
      <xdr:nvPicPr>
        <xdr:cNvPr id="57" name="image51.png">
          <a:extLst>
            <a:ext uri="{FF2B5EF4-FFF2-40B4-BE49-F238E27FC236}">
              <a16:creationId xmlns:a16="http://schemas.microsoft.com/office/drawing/2014/main" id="{14A2F5CB-F3FA-4E11-B692-AB3BACE40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>
          <a:lum/>
          <a:alphaModFix/>
        </a:blip>
        <a:srcRect/>
        <a:stretch>
          <a:fillRect/>
        </a:stretch>
      </xdr:blipFill>
      <xdr:spPr>
        <a:xfrm>
          <a:off x="4591050" y="68103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23</xdr:row>
      <xdr:rowOff>0</xdr:rowOff>
    </xdr:from>
    <xdr:ext cx="475869" cy="313944"/>
    <xdr:pic>
      <xdr:nvPicPr>
        <xdr:cNvPr id="58" name="image52.png">
          <a:extLst>
            <a:ext uri="{FF2B5EF4-FFF2-40B4-BE49-F238E27FC236}">
              <a16:creationId xmlns:a16="http://schemas.microsoft.com/office/drawing/2014/main" id="{78A9DE00-9D66-4BBB-86C4-B2587A145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>
          <a:lum/>
          <a:alphaModFix/>
        </a:blip>
        <a:srcRect/>
        <a:stretch>
          <a:fillRect/>
        </a:stretch>
      </xdr:blipFill>
      <xdr:spPr>
        <a:xfrm>
          <a:off x="0" y="71247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23</xdr:row>
      <xdr:rowOff>0</xdr:rowOff>
    </xdr:from>
    <xdr:ext cx="466217" cy="313944"/>
    <xdr:pic>
      <xdr:nvPicPr>
        <xdr:cNvPr id="59" name="image65.png">
          <a:extLst>
            <a:ext uri="{FF2B5EF4-FFF2-40B4-BE49-F238E27FC236}">
              <a16:creationId xmlns:a16="http://schemas.microsoft.com/office/drawing/2014/main" id="{3260D6E9-485F-4209-93FB-C404090B8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lum/>
          <a:alphaModFix/>
        </a:blip>
        <a:srcRect/>
        <a:stretch>
          <a:fillRect/>
        </a:stretch>
      </xdr:blipFill>
      <xdr:spPr>
        <a:xfrm>
          <a:off x="2181225" y="712470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23</xdr:row>
      <xdr:rowOff>0</xdr:rowOff>
    </xdr:from>
    <xdr:ext cx="466217" cy="313944"/>
    <xdr:pic>
      <xdr:nvPicPr>
        <xdr:cNvPr id="60" name="image57.png">
          <a:extLst>
            <a:ext uri="{FF2B5EF4-FFF2-40B4-BE49-F238E27FC236}">
              <a16:creationId xmlns:a16="http://schemas.microsoft.com/office/drawing/2014/main" id="{B3C226B1-C2BC-43C3-9252-3783CFA90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lum/>
          <a:alphaModFix/>
        </a:blip>
        <a:srcRect/>
        <a:stretch>
          <a:fillRect/>
        </a:stretch>
      </xdr:blipFill>
      <xdr:spPr>
        <a:xfrm>
          <a:off x="4591050" y="712470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24</xdr:row>
      <xdr:rowOff>0</xdr:rowOff>
    </xdr:from>
    <xdr:ext cx="475869" cy="313944"/>
    <xdr:pic>
      <xdr:nvPicPr>
        <xdr:cNvPr id="61" name="image59.png">
          <a:extLst>
            <a:ext uri="{FF2B5EF4-FFF2-40B4-BE49-F238E27FC236}">
              <a16:creationId xmlns:a16="http://schemas.microsoft.com/office/drawing/2014/main" id="{F345A811-0BC4-4D29-A1C8-23DCFCEFE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lum/>
          <a:alphaModFix/>
        </a:blip>
        <a:srcRect/>
        <a:stretch>
          <a:fillRect/>
        </a:stretch>
      </xdr:blipFill>
      <xdr:spPr>
        <a:xfrm>
          <a:off x="0" y="74390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24</xdr:row>
      <xdr:rowOff>0</xdr:rowOff>
    </xdr:from>
    <xdr:ext cx="466217" cy="313944"/>
    <xdr:pic>
      <xdr:nvPicPr>
        <xdr:cNvPr id="62" name="image63.png">
          <a:extLst>
            <a:ext uri="{FF2B5EF4-FFF2-40B4-BE49-F238E27FC236}">
              <a16:creationId xmlns:a16="http://schemas.microsoft.com/office/drawing/2014/main" id="{D1ADADC2-9514-4822-9401-846A2975D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lum/>
          <a:alphaModFix/>
        </a:blip>
        <a:srcRect/>
        <a:stretch>
          <a:fillRect/>
        </a:stretch>
      </xdr:blipFill>
      <xdr:spPr>
        <a:xfrm>
          <a:off x="2181225" y="74390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24</xdr:row>
      <xdr:rowOff>0</xdr:rowOff>
    </xdr:from>
    <xdr:ext cx="466217" cy="313944"/>
    <xdr:pic>
      <xdr:nvPicPr>
        <xdr:cNvPr id="63" name="image64.png">
          <a:extLst>
            <a:ext uri="{FF2B5EF4-FFF2-40B4-BE49-F238E27FC236}">
              <a16:creationId xmlns:a16="http://schemas.microsoft.com/office/drawing/2014/main" id="{9A8D0324-F1D1-439F-9546-9B23305B1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lum/>
          <a:alphaModFix/>
        </a:blip>
        <a:srcRect/>
        <a:stretch>
          <a:fillRect/>
        </a:stretch>
      </xdr:blipFill>
      <xdr:spPr>
        <a:xfrm>
          <a:off x="4591050" y="74390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25</xdr:row>
      <xdr:rowOff>0</xdr:rowOff>
    </xdr:from>
    <xdr:ext cx="475869" cy="313944"/>
    <xdr:pic>
      <xdr:nvPicPr>
        <xdr:cNvPr id="64" name="image70.png">
          <a:extLst>
            <a:ext uri="{FF2B5EF4-FFF2-40B4-BE49-F238E27FC236}">
              <a16:creationId xmlns:a16="http://schemas.microsoft.com/office/drawing/2014/main" id="{983338FD-D39D-4FF5-A627-8E22D191E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>
          <a:lum/>
          <a:alphaModFix/>
        </a:blip>
        <a:srcRect/>
        <a:stretch>
          <a:fillRect/>
        </a:stretch>
      </xdr:blipFill>
      <xdr:spPr>
        <a:xfrm>
          <a:off x="2181225" y="77533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25</xdr:row>
      <xdr:rowOff>0</xdr:rowOff>
    </xdr:from>
    <xdr:ext cx="475869" cy="313944"/>
    <xdr:pic>
      <xdr:nvPicPr>
        <xdr:cNvPr id="65" name="image71.png">
          <a:extLst>
            <a:ext uri="{FF2B5EF4-FFF2-40B4-BE49-F238E27FC236}">
              <a16:creationId xmlns:a16="http://schemas.microsoft.com/office/drawing/2014/main" id="{087B5C34-468F-47AD-998C-3054D3CB3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lum/>
          <a:alphaModFix/>
        </a:blip>
        <a:srcRect/>
        <a:stretch>
          <a:fillRect/>
        </a:stretch>
      </xdr:blipFill>
      <xdr:spPr>
        <a:xfrm>
          <a:off x="4591050" y="77533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26</xdr:row>
      <xdr:rowOff>0</xdr:rowOff>
    </xdr:from>
    <xdr:ext cx="475869" cy="313944"/>
    <xdr:pic>
      <xdr:nvPicPr>
        <xdr:cNvPr id="66" name="image62.png">
          <a:extLst>
            <a:ext uri="{FF2B5EF4-FFF2-40B4-BE49-F238E27FC236}">
              <a16:creationId xmlns:a16="http://schemas.microsoft.com/office/drawing/2014/main" id="{A32F87E1-5007-4B8A-8D08-2E128CEA8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>
          <a:lum/>
          <a:alphaModFix/>
        </a:blip>
        <a:srcRect/>
        <a:stretch>
          <a:fillRect/>
        </a:stretch>
      </xdr:blipFill>
      <xdr:spPr>
        <a:xfrm>
          <a:off x="0" y="80676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26</xdr:row>
      <xdr:rowOff>0</xdr:rowOff>
    </xdr:from>
    <xdr:ext cx="475869" cy="313944"/>
    <xdr:pic>
      <xdr:nvPicPr>
        <xdr:cNvPr id="67" name="image56.png">
          <a:extLst>
            <a:ext uri="{FF2B5EF4-FFF2-40B4-BE49-F238E27FC236}">
              <a16:creationId xmlns:a16="http://schemas.microsoft.com/office/drawing/2014/main" id="{B07EB092-6BB7-495A-852F-F2AA2B3A7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lum/>
          <a:alphaModFix/>
        </a:blip>
        <a:srcRect/>
        <a:stretch>
          <a:fillRect/>
        </a:stretch>
      </xdr:blipFill>
      <xdr:spPr>
        <a:xfrm>
          <a:off x="4591050" y="80676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27</xdr:row>
      <xdr:rowOff>0</xdr:rowOff>
    </xdr:from>
    <xdr:ext cx="475869" cy="313944"/>
    <xdr:pic>
      <xdr:nvPicPr>
        <xdr:cNvPr id="68" name="image61.png">
          <a:extLst>
            <a:ext uri="{FF2B5EF4-FFF2-40B4-BE49-F238E27FC236}">
              <a16:creationId xmlns:a16="http://schemas.microsoft.com/office/drawing/2014/main" id="{82B003C8-C2C0-4C44-9588-2E59C368C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>
          <a:lum/>
          <a:alphaModFix/>
        </a:blip>
        <a:srcRect/>
        <a:stretch>
          <a:fillRect/>
        </a:stretch>
      </xdr:blipFill>
      <xdr:spPr>
        <a:xfrm>
          <a:off x="0" y="83820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27</xdr:row>
      <xdr:rowOff>0</xdr:rowOff>
    </xdr:from>
    <xdr:ext cx="475869" cy="313944"/>
    <xdr:pic>
      <xdr:nvPicPr>
        <xdr:cNvPr id="69" name="image74.png">
          <a:extLst>
            <a:ext uri="{FF2B5EF4-FFF2-40B4-BE49-F238E27FC236}">
              <a16:creationId xmlns:a16="http://schemas.microsoft.com/office/drawing/2014/main" id="{003B92DF-75EB-4149-AAA6-96BEB4896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lum/>
          <a:alphaModFix/>
        </a:blip>
        <a:srcRect/>
        <a:stretch>
          <a:fillRect/>
        </a:stretch>
      </xdr:blipFill>
      <xdr:spPr>
        <a:xfrm>
          <a:off x="4591050" y="83820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28</xdr:row>
      <xdr:rowOff>0</xdr:rowOff>
    </xdr:from>
    <xdr:ext cx="466217" cy="313944"/>
    <xdr:pic>
      <xdr:nvPicPr>
        <xdr:cNvPr id="70" name="image58.png">
          <a:extLst>
            <a:ext uri="{FF2B5EF4-FFF2-40B4-BE49-F238E27FC236}">
              <a16:creationId xmlns:a16="http://schemas.microsoft.com/office/drawing/2014/main" id="{70AA0488-C695-4578-B310-75E74C53B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lum/>
          <a:alphaModFix/>
        </a:blip>
        <a:srcRect/>
        <a:stretch>
          <a:fillRect/>
        </a:stretch>
      </xdr:blipFill>
      <xdr:spPr>
        <a:xfrm>
          <a:off x="0" y="86963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28</xdr:row>
      <xdr:rowOff>0</xdr:rowOff>
    </xdr:from>
    <xdr:ext cx="475869" cy="313944"/>
    <xdr:pic>
      <xdr:nvPicPr>
        <xdr:cNvPr id="71" name="image76.png">
          <a:extLst>
            <a:ext uri="{FF2B5EF4-FFF2-40B4-BE49-F238E27FC236}">
              <a16:creationId xmlns:a16="http://schemas.microsoft.com/office/drawing/2014/main" id="{826B9216-AB37-4E9E-842B-65DE2B0C0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>
          <a:lum/>
          <a:alphaModFix/>
        </a:blip>
        <a:srcRect/>
        <a:stretch>
          <a:fillRect/>
        </a:stretch>
      </xdr:blipFill>
      <xdr:spPr>
        <a:xfrm>
          <a:off x="4591050" y="86963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29</xdr:row>
      <xdr:rowOff>0</xdr:rowOff>
    </xdr:from>
    <xdr:ext cx="466217" cy="313944"/>
    <xdr:pic>
      <xdr:nvPicPr>
        <xdr:cNvPr id="72" name="image72.png">
          <a:extLst>
            <a:ext uri="{FF2B5EF4-FFF2-40B4-BE49-F238E27FC236}">
              <a16:creationId xmlns:a16="http://schemas.microsoft.com/office/drawing/2014/main" id="{915B3C97-28DA-4AA8-83BD-ADFB715F1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lum/>
          <a:alphaModFix/>
        </a:blip>
        <a:srcRect/>
        <a:stretch>
          <a:fillRect/>
        </a:stretch>
      </xdr:blipFill>
      <xdr:spPr>
        <a:xfrm>
          <a:off x="0" y="901065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29</xdr:row>
      <xdr:rowOff>0</xdr:rowOff>
    </xdr:from>
    <xdr:ext cx="475869" cy="313944"/>
    <xdr:pic>
      <xdr:nvPicPr>
        <xdr:cNvPr id="73" name="image67.png">
          <a:extLst>
            <a:ext uri="{FF2B5EF4-FFF2-40B4-BE49-F238E27FC236}">
              <a16:creationId xmlns:a16="http://schemas.microsoft.com/office/drawing/2014/main" id="{C1C682D1-1C29-4C31-BE68-0E0566DAD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>
          <a:lum/>
          <a:alphaModFix/>
        </a:blip>
        <a:srcRect/>
        <a:stretch>
          <a:fillRect/>
        </a:stretch>
      </xdr:blipFill>
      <xdr:spPr>
        <a:xfrm>
          <a:off x="2181225" y="90106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30</xdr:row>
      <xdr:rowOff>0</xdr:rowOff>
    </xdr:from>
    <xdr:ext cx="466217" cy="313944"/>
    <xdr:pic>
      <xdr:nvPicPr>
        <xdr:cNvPr id="74" name="image69.png">
          <a:extLst>
            <a:ext uri="{FF2B5EF4-FFF2-40B4-BE49-F238E27FC236}">
              <a16:creationId xmlns:a16="http://schemas.microsoft.com/office/drawing/2014/main" id="{9FC210AE-EFC7-4E97-B004-9446D4D2D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lum/>
          <a:alphaModFix/>
        </a:blip>
        <a:srcRect/>
        <a:stretch>
          <a:fillRect/>
        </a:stretch>
      </xdr:blipFill>
      <xdr:spPr>
        <a:xfrm>
          <a:off x="0" y="93249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30</xdr:row>
      <xdr:rowOff>0</xdr:rowOff>
    </xdr:from>
    <xdr:ext cx="466217" cy="313944"/>
    <xdr:pic>
      <xdr:nvPicPr>
        <xdr:cNvPr id="75" name="image73.png">
          <a:extLst>
            <a:ext uri="{FF2B5EF4-FFF2-40B4-BE49-F238E27FC236}">
              <a16:creationId xmlns:a16="http://schemas.microsoft.com/office/drawing/2014/main" id="{61CD82CB-3B46-404F-AE46-352FABB6F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>
          <a:lum/>
          <a:alphaModFix/>
        </a:blip>
        <a:srcRect/>
        <a:stretch>
          <a:fillRect/>
        </a:stretch>
      </xdr:blipFill>
      <xdr:spPr>
        <a:xfrm>
          <a:off x="4591050" y="93249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31</xdr:row>
      <xdr:rowOff>0</xdr:rowOff>
    </xdr:from>
    <xdr:ext cx="475869" cy="313944"/>
    <xdr:pic>
      <xdr:nvPicPr>
        <xdr:cNvPr id="76" name="image68.png">
          <a:extLst>
            <a:ext uri="{FF2B5EF4-FFF2-40B4-BE49-F238E27FC236}">
              <a16:creationId xmlns:a16="http://schemas.microsoft.com/office/drawing/2014/main" id="{050A6C34-0FBC-4BDA-B970-B7F2CCCBD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lum/>
          <a:alphaModFix/>
        </a:blip>
        <a:srcRect/>
        <a:stretch>
          <a:fillRect/>
        </a:stretch>
      </xdr:blipFill>
      <xdr:spPr>
        <a:xfrm>
          <a:off x="0" y="96393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31</xdr:row>
      <xdr:rowOff>0</xdr:rowOff>
    </xdr:from>
    <xdr:ext cx="475869" cy="313944"/>
    <xdr:pic>
      <xdr:nvPicPr>
        <xdr:cNvPr id="77" name="image80.png">
          <a:extLst>
            <a:ext uri="{FF2B5EF4-FFF2-40B4-BE49-F238E27FC236}">
              <a16:creationId xmlns:a16="http://schemas.microsoft.com/office/drawing/2014/main" id="{E429841B-04FE-4584-BCEB-31EDA159F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>
          <a:lum/>
          <a:alphaModFix/>
        </a:blip>
        <a:srcRect/>
        <a:stretch>
          <a:fillRect/>
        </a:stretch>
      </xdr:blipFill>
      <xdr:spPr>
        <a:xfrm>
          <a:off x="4591050" y="96393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32</xdr:row>
      <xdr:rowOff>0</xdr:rowOff>
    </xdr:from>
    <xdr:ext cx="475869" cy="313944"/>
    <xdr:pic>
      <xdr:nvPicPr>
        <xdr:cNvPr id="78" name="image78.png">
          <a:extLst>
            <a:ext uri="{FF2B5EF4-FFF2-40B4-BE49-F238E27FC236}">
              <a16:creationId xmlns:a16="http://schemas.microsoft.com/office/drawing/2014/main" id="{A69BFCA5-9624-4ADF-B892-461ED9F08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lum/>
          <a:alphaModFix/>
        </a:blip>
        <a:srcRect/>
        <a:stretch>
          <a:fillRect/>
        </a:stretch>
      </xdr:blipFill>
      <xdr:spPr>
        <a:xfrm>
          <a:off x="0" y="99536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32</xdr:row>
      <xdr:rowOff>0</xdr:rowOff>
    </xdr:from>
    <xdr:ext cx="475869" cy="313944"/>
    <xdr:pic>
      <xdr:nvPicPr>
        <xdr:cNvPr id="79" name="image84.png">
          <a:extLst>
            <a:ext uri="{FF2B5EF4-FFF2-40B4-BE49-F238E27FC236}">
              <a16:creationId xmlns:a16="http://schemas.microsoft.com/office/drawing/2014/main" id="{E0E1A3D0-410B-4FA6-A623-4A76770ED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>
          <a:lum/>
          <a:alphaModFix/>
        </a:blip>
        <a:srcRect/>
        <a:stretch>
          <a:fillRect/>
        </a:stretch>
      </xdr:blipFill>
      <xdr:spPr>
        <a:xfrm>
          <a:off x="2181225" y="99536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32</xdr:row>
      <xdr:rowOff>0</xdr:rowOff>
    </xdr:from>
    <xdr:ext cx="466217" cy="313944"/>
    <xdr:pic>
      <xdr:nvPicPr>
        <xdr:cNvPr id="80" name="image79.png">
          <a:extLst>
            <a:ext uri="{FF2B5EF4-FFF2-40B4-BE49-F238E27FC236}">
              <a16:creationId xmlns:a16="http://schemas.microsoft.com/office/drawing/2014/main" id="{6B3CCD55-943B-497F-935F-D3DEA18C0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lum/>
          <a:alphaModFix/>
        </a:blip>
        <a:srcRect/>
        <a:stretch>
          <a:fillRect/>
        </a:stretch>
      </xdr:blipFill>
      <xdr:spPr>
        <a:xfrm>
          <a:off x="4591050" y="99536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33</xdr:row>
      <xdr:rowOff>0</xdr:rowOff>
    </xdr:from>
    <xdr:ext cx="475869" cy="313944"/>
    <xdr:pic>
      <xdr:nvPicPr>
        <xdr:cNvPr id="81" name="image86.png">
          <a:extLst>
            <a:ext uri="{FF2B5EF4-FFF2-40B4-BE49-F238E27FC236}">
              <a16:creationId xmlns:a16="http://schemas.microsoft.com/office/drawing/2014/main" id="{7A840F5E-A900-4AD1-973A-A9AF10405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>
          <a:lum/>
          <a:alphaModFix/>
        </a:blip>
        <a:srcRect/>
        <a:stretch>
          <a:fillRect/>
        </a:stretch>
      </xdr:blipFill>
      <xdr:spPr>
        <a:xfrm>
          <a:off x="0" y="102679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33</xdr:row>
      <xdr:rowOff>0</xdr:rowOff>
    </xdr:from>
    <xdr:ext cx="475869" cy="313944"/>
    <xdr:pic>
      <xdr:nvPicPr>
        <xdr:cNvPr id="82" name="image83.png">
          <a:extLst>
            <a:ext uri="{FF2B5EF4-FFF2-40B4-BE49-F238E27FC236}">
              <a16:creationId xmlns:a16="http://schemas.microsoft.com/office/drawing/2014/main" id="{BAB06F55-2255-45E7-BC1F-92A5687DA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lum/>
          <a:alphaModFix/>
        </a:blip>
        <a:srcRect/>
        <a:stretch>
          <a:fillRect/>
        </a:stretch>
      </xdr:blipFill>
      <xdr:spPr>
        <a:xfrm>
          <a:off x="2181225" y="102679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33</xdr:row>
      <xdr:rowOff>0</xdr:rowOff>
    </xdr:from>
    <xdr:ext cx="475869" cy="313944"/>
    <xdr:pic>
      <xdr:nvPicPr>
        <xdr:cNvPr id="83" name="image75.png">
          <a:extLst>
            <a:ext uri="{FF2B5EF4-FFF2-40B4-BE49-F238E27FC236}">
              <a16:creationId xmlns:a16="http://schemas.microsoft.com/office/drawing/2014/main" id="{9CC62892-9599-42B5-B751-3F880925A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>
          <a:lum/>
          <a:alphaModFix/>
        </a:blip>
        <a:srcRect/>
        <a:stretch>
          <a:fillRect/>
        </a:stretch>
      </xdr:blipFill>
      <xdr:spPr>
        <a:xfrm>
          <a:off x="4591050" y="102679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34</xdr:row>
      <xdr:rowOff>0</xdr:rowOff>
    </xdr:from>
    <xdr:ext cx="466217" cy="313944"/>
    <xdr:pic>
      <xdr:nvPicPr>
        <xdr:cNvPr id="84" name="image82.png">
          <a:extLst>
            <a:ext uri="{FF2B5EF4-FFF2-40B4-BE49-F238E27FC236}">
              <a16:creationId xmlns:a16="http://schemas.microsoft.com/office/drawing/2014/main" id="{8F0E7925-425B-441F-94B7-2C1E36DFD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lum/>
          <a:alphaModFix/>
        </a:blip>
        <a:srcRect/>
        <a:stretch>
          <a:fillRect/>
        </a:stretch>
      </xdr:blipFill>
      <xdr:spPr>
        <a:xfrm>
          <a:off x="0" y="105822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34</xdr:row>
      <xdr:rowOff>0</xdr:rowOff>
    </xdr:from>
    <xdr:ext cx="466217" cy="313944"/>
    <xdr:pic>
      <xdr:nvPicPr>
        <xdr:cNvPr id="85" name="image77.png">
          <a:extLst>
            <a:ext uri="{FF2B5EF4-FFF2-40B4-BE49-F238E27FC236}">
              <a16:creationId xmlns:a16="http://schemas.microsoft.com/office/drawing/2014/main" id="{227E26B8-2DFC-42B2-86F1-069EAFF8A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>
          <a:lum/>
          <a:alphaModFix/>
        </a:blip>
        <a:srcRect/>
        <a:stretch>
          <a:fillRect/>
        </a:stretch>
      </xdr:blipFill>
      <xdr:spPr>
        <a:xfrm>
          <a:off x="2181225" y="105822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8</xdr:col>
      <xdr:colOff>0</xdr:colOff>
      <xdr:row>34</xdr:row>
      <xdr:rowOff>0</xdr:rowOff>
    </xdr:from>
    <xdr:ext cx="466217" cy="313944"/>
    <xdr:pic>
      <xdr:nvPicPr>
        <xdr:cNvPr id="86" name="image85.png">
          <a:extLst>
            <a:ext uri="{FF2B5EF4-FFF2-40B4-BE49-F238E27FC236}">
              <a16:creationId xmlns:a16="http://schemas.microsoft.com/office/drawing/2014/main" id="{855AEBC0-E87A-4472-BBFB-7DF674B39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lum/>
          <a:alphaModFix/>
        </a:blip>
        <a:srcRect/>
        <a:stretch>
          <a:fillRect/>
        </a:stretch>
      </xdr:blipFill>
      <xdr:spPr>
        <a:xfrm>
          <a:off x="4591050" y="105822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35</xdr:row>
      <xdr:rowOff>0</xdr:rowOff>
    </xdr:from>
    <xdr:ext cx="466217" cy="313944"/>
    <xdr:pic>
      <xdr:nvPicPr>
        <xdr:cNvPr id="87" name="image81.png">
          <a:extLst>
            <a:ext uri="{FF2B5EF4-FFF2-40B4-BE49-F238E27FC236}">
              <a16:creationId xmlns:a16="http://schemas.microsoft.com/office/drawing/2014/main" id="{EE4BD269-AE16-444F-8713-626938AF1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>
          <a:lum/>
          <a:alphaModFix/>
        </a:blip>
        <a:srcRect/>
        <a:stretch>
          <a:fillRect/>
        </a:stretch>
      </xdr:blipFill>
      <xdr:spPr>
        <a:xfrm>
          <a:off x="0" y="1089660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36</xdr:row>
      <xdr:rowOff>0</xdr:rowOff>
    </xdr:from>
    <xdr:ext cx="475869" cy="313944"/>
    <xdr:pic>
      <xdr:nvPicPr>
        <xdr:cNvPr id="88" name="image90.png">
          <a:extLst>
            <a:ext uri="{FF2B5EF4-FFF2-40B4-BE49-F238E27FC236}">
              <a16:creationId xmlns:a16="http://schemas.microsoft.com/office/drawing/2014/main" id="{8AE2793D-78F6-4ED1-BC24-133A673A8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lum/>
          <a:alphaModFix/>
        </a:blip>
        <a:srcRect/>
        <a:stretch>
          <a:fillRect/>
        </a:stretch>
      </xdr:blipFill>
      <xdr:spPr>
        <a:xfrm>
          <a:off x="0" y="112109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37</xdr:row>
      <xdr:rowOff>0</xdr:rowOff>
    </xdr:from>
    <xdr:ext cx="466217" cy="313944"/>
    <xdr:pic>
      <xdr:nvPicPr>
        <xdr:cNvPr id="89" name="image88.png">
          <a:extLst>
            <a:ext uri="{FF2B5EF4-FFF2-40B4-BE49-F238E27FC236}">
              <a16:creationId xmlns:a16="http://schemas.microsoft.com/office/drawing/2014/main" id="{630DB99A-74DB-48BD-9464-83157E4CE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>
          <a:lum/>
          <a:alphaModFix/>
        </a:blip>
        <a:srcRect/>
        <a:stretch>
          <a:fillRect/>
        </a:stretch>
      </xdr:blipFill>
      <xdr:spPr>
        <a:xfrm>
          <a:off x="0" y="1152525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37</xdr:row>
      <xdr:rowOff>0</xdr:rowOff>
    </xdr:from>
    <xdr:ext cx="466217" cy="313944"/>
    <xdr:pic>
      <xdr:nvPicPr>
        <xdr:cNvPr id="90" name="image89.png">
          <a:extLst>
            <a:ext uri="{FF2B5EF4-FFF2-40B4-BE49-F238E27FC236}">
              <a16:creationId xmlns:a16="http://schemas.microsoft.com/office/drawing/2014/main" id="{EBCB35C7-70BE-4732-917A-DE799F264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lum/>
          <a:alphaModFix/>
        </a:blip>
        <a:srcRect/>
        <a:stretch>
          <a:fillRect/>
        </a:stretch>
      </xdr:blipFill>
      <xdr:spPr>
        <a:xfrm>
          <a:off x="2181225" y="1152525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38</xdr:row>
      <xdr:rowOff>0</xdr:rowOff>
    </xdr:from>
    <xdr:ext cx="466217" cy="313944"/>
    <xdr:pic>
      <xdr:nvPicPr>
        <xdr:cNvPr id="91" name="image93.png">
          <a:extLst>
            <a:ext uri="{FF2B5EF4-FFF2-40B4-BE49-F238E27FC236}">
              <a16:creationId xmlns:a16="http://schemas.microsoft.com/office/drawing/2014/main" id="{23BE8DBF-903D-4080-B13E-7B09479D5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>
          <a:lum/>
          <a:alphaModFix/>
        </a:blip>
        <a:srcRect/>
        <a:stretch>
          <a:fillRect/>
        </a:stretch>
      </xdr:blipFill>
      <xdr:spPr>
        <a:xfrm>
          <a:off x="0" y="118395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38</xdr:row>
      <xdr:rowOff>0</xdr:rowOff>
    </xdr:from>
    <xdr:ext cx="475869" cy="313944"/>
    <xdr:pic>
      <xdr:nvPicPr>
        <xdr:cNvPr id="92" name="image87.png">
          <a:extLst>
            <a:ext uri="{FF2B5EF4-FFF2-40B4-BE49-F238E27FC236}">
              <a16:creationId xmlns:a16="http://schemas.microsoft.com/office/drawing/2014/main" id="{DA9154E2-AEEA-47BD-8E0F-3019BC705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lum/>
          <a:alphaModFix/>
        </a:blip>
        <a:srcRect/>
        <a:stretch>
          <a:fillRect/>
        </a:stretch>
      </xdr:blipFill>
      <xdr:spPr>
        <a:xfrm>
          <a:off x="2181225" y="118395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39</xdr:row>
      <xdr:rowOff>0</xdr:rowOff>
    </xdr:from>
    <xdr:ext cx="466217" cy="313944"/>
    <xdr:pic>
      <xdr:nvPicPr>
        <xdr:cNvPr id="93" name="image94.png">
          <a:extLst>
            <a:ext uri="{FF2B5EF4-FFF2-40B4-BE49-F238E27FC236}">
              <a16:creationId xmlns:a16="http://schemas.microsoft.com/office/drawing/2014/main" id="{B54A74DC-F642-4100-A444-6D1C3F8FE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>
          <a:lum/>
          <a:alphaModFix/>
        </a:blip>
        <a:srcRect/>
        <a:stretch>
          <a:fillRect/>
        </a:stretch>
      </xdr:blipFill>
      <xdr:spPr>
        <a:xfrm>
          <a:off x="0" y="1215390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39</xdr:row>
      <xdr:rowOff>0</xdr:rowOff>
    </xdr:from>
    <xdr:ext cx="475869" cy="313944"/>
    <xdr:pic>
      <xdr:nvPicPr>
        <xdr:cNvPr id="94" name="image91.png">
          <a:extLst>
            <a:ext uri="{FF2B5EF4-FFF2-40B4-BE49-F238E27FC236}">
              <a16:creationId xmlns:a16="http://schemas.microsoft.com/office/drawing/2014/main" id="{CCE9DD80-2B27-4DE0-BA4C-C531F785D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lum/>
          <a:alphaModFix/>
        </a:blip>
        <a:srcRect/>
        <a:stretch>
          <a:fillRect/>
        </a:stretch>
      </xdr:blipFill>
      <xdr:spPr>
        <a:xfrm>
          <a:off x="2181225" y="121539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40</xdr:row>
      <xdr:rowOff>0</xdr:rowOff>
    </xdr:from>
    <xdr:ext cx="466217" cy="313944"/>
    <xdr:pic>
      <xdr:nvPicPr>
        <xdr:cNvPr id="95" name="image92.png">
          <a:extLst>
            <a:ext uri="{FF2B5EF4-FFF2-40B4-BE49-F238E27FC236}">
              <a16:creationId xmlns:a16="http://schemas.microsoft.com/office/drawing/2014/main" id="{E621B8F9-AE4D-4DF2-B9EC-383FCB30D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>
          <a:lum/>
          <a:alphaModFix/>
        </a:blip>
        <a:srcRect/>
        <a:stretch>
          <a:fillRect/>
        </a:stretch>
      </xdr:blipFill>
      <xdr:spPr>
        <a:xfrm>
          <a:off x="0" y="124682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40</xdr:row>
      <xdr:rowOff>0</xdr:rowOff>
    </xdr:from>
    <xdr:ext cx="475869" cy="313944"/>
    <xdr:pic>
      <xdr:nvPicPr>
        <xdr:cNvPr id="96" name="image100.png">
          <a:extLst>
            <a:ext uri="{FF2B5EF4-FFF2-40B4-BE49-F238E27FC236}">
              <a16:creationId xmlns:a16="http://schemas.microsoft.com/office/drawing/2014/main" id="{505A2D3C-B361-460E-B68A-A0B4B875B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lum/>
          <a:alphaModFix/>
        </a:blip>
        <a:srcRect/>
        <a:stretch>
          <a:fillRect/>
        </a:stretch>
      </xdr:blipFill>
      <xdr:spPr>
        <a:xfrm>
          <a:off x="2181225" y="124682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41</xdr:row>
      <xdr:rowOff>0</xdr:rowOff>
    </xdr:from>
    <xdr:ext cx="475869" cy="313944"/>
    <xdr:pic>
      <xdr:nvPicPr>
        <xdr:cNvPr id="97" name="image110.png">
          <a:extLst>
            <a:ext uri="{FF2B5EF4-FFF2-40B4-BE49-F238E27FC236}">
              <a16:creationId xmlns:a16="http://schemas.microsoft.com/office/drawing/2014/main" id="{3F7CDB1F-F74E-40B4-BD6E-72D178CD1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>
          <a:lum/>
          <a:alphaModFix/>
        </a:blip>
        <a:srcRect/>
        <a:stretch>
          <a:fillRect/>
        </a:stretch>
      </xdr:blipFill>
      <xdr:spPr>
        <a:xfrm>
          <a:off x="0" y="127825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41</xdr:row>
      <xdr:rowOff>0</xdr:rowOff>
    </xdr:from>
    <xdr:ext cx="475869" cy="313944"/>
    <xdr:pic>
      <xdr:nvPicPr>
        <xdr:cNvPr id="98" name="image98.png">
          <a:extLst>
            <a:ext uri="{FF2B5EF4-FFF2-40B4-BE49-F238E27FC236}">
              <a16:creationId xmlns:a16="http://schemas.microsoft.com/office/drawing/2014/main" id="{C060C5F7-4AF2-4E90-9038-C767202A1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lum/>
          <a:alphaModFix/>
        </a:blip>
        <a:srcRect/>
        <a:stretch>
          <a:fillRect/>
        </a:stretch>
      </xdr:blipFill>
      <xdr:spPr>
        <a:xfrm>
          <a:off x="2181225" y="127825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42</xdr:row>
      <xdr:rowOff>0</xdr:rowOff>
    </xdr:from>
    <xdr:ext cx="475869" cy="313944"/>
    <xdr:pic>
      <xdr:nvPicPr>
        <xdr:cNvPr id="99" name="image97.png">
          <a:extLst>
            <a:ext uri="{FF2B5EF4-FFF2-40B4-BE49-F238E27FC236}">
              <a16:creationId xmlns:a16="http://schemas.microsoft.com/office/drawing/2014/main" id="{3461FBDF-DB85-426D-988A-39B17DF75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>
          <a:lum/>
          <a:alphaModFix/>
        </a:blip>
        <a:srcRect/>
        <a:stretch>
          <a:fillRect/>
        </a:stretch>
      </xdr:blipFill>
      <xdr:spPr>
        <a:xfrm>
          <a:off x="0" y="130968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42</xdr:row>
      <xdr:rowOff>0</xdr:rowOff>
    </xdr:from>
    <xdr:ext cx="475869" cy="313944"/>
    <xdr:pic>
      <xdr:nvPicPr>
        <xdr:cNvPr id="100" name="image95.png">
          <a:extLst>
            <a:ext uri="{FF2B5EF4-FFF2-40B4-BE49-F238E27FC236}">
              <a16:creationId xmlns:a16="http://schemas.microsoft.com/office/drawing/2014/main" id="{B46E3AEB-5DEE-43F2-BBC3-BD8D87D1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lum/>
          <a:alphaModFix/>
        </a:blip>
        <a:srcRect/>
        <a:stretch>
          <a:fillRect/>
        </a:stretch>
      </xdr:blipFill>
      <xdr:spPr>
        <a:xfrm>
          <a:off x="2181225" y="130968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43</xdr:row>
      <xdr:rowOff>0</xdr:rowOff>
    </xdr:from>
    <xdr:ext cx="466217" cy="313944"/>
    <xdr:pic>
      <xdr:nvPicPr>
        <xdr:cNvPr id="101" name="image101.png">
          <a:extLst>
            <a:ext uri="{FF2B5EF4-FFF2-40B4-BE49-F238E27FC236}">
              <a16:creationId xmlns:a16="http://schemas.microsoft.com/office/drawing/2014/main" id="{59F72D99-0A41-456E-A157-61C6FD666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>
          <a:lum/>
          <a:alphaModFix/>
        </a:blip>
        <a:srcRect/>
        <a:stretch>
          <a:fillRect/>
        </a:stretch>
      </xdr:blipFill>
      <xdr:spPr>
        <a:xfrm>
          <a:off x="0" y="1341120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43</xdr:row>
      <xdr:rowOff>0</xdr:rowOff>
    </xdr:from>
    <xdr:ext cx="466217" cy="313944"/>
    <xdr:pic>
      <xdr:nvPicPr>
        <xdr:cNvPr id="102" name="image109.png">
          <a:extLst>
            <a:ext uri="{FF2B5EF4-FFF2-40B4-BE49-F238E27FC236}">
              <a16:creationId xmlns:a16="http://schemas.microsoft.com/office/drawing/2014/main" id="{CF430C62-3654-4607-AE5C-522A05F88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lum/>
          <a:alphaModFix/>
        </a:blip>
        <a:srcRect/>
        <a:stretch>
          <a:fillRect/>
        </a:stretch>
      </xdr:blipFill>
      <xdr:spPr>
        <a:xfrm>
          <a:off x="2181225" y="1341120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44</xdr:row>
      <xdr:rowOff>0</xdr:rowOff>
    </xdr:from>
    <xdr:ext cx="466217" cy="313944"/>
    <xdr:pic>
      <xdr:nvPicPr>
        <xdr:cNvPr id="103" name="image99.png">
          <a:extLst>
            <a:ext uri="{FF2B5EF4-FFF2-40B4-BE49-F238E27FC236}">
              <a16:creationId xmlns:a16="http://schemas.microsoft.com/office/drawing/2014/main" id="{5BB1BF97-8E90-4275-873B-EB6FB464F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>
          <a:lum/>
          <a:alphaModFix/>
        </a:blip>
        <a:srcRect/>
        <a:stretch>
          <a:fillRect/>
        </a:stretch>
      </xdr:blipFill>
      <xdr:spPr>
        <a:xfrm>
          <a:off x="0" y="137255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44</xdr:row>
      <xdr:rowOff>0</xdr:rowOff>
    </xdr:from>
    <xdr:ext cx="475869" cy="313944"/>
    <xdr:pic>
      <xdr:nvPicPr>
        <xdr:cNvPr id="104" name="image96.png">
          <a:extLst>
            <a:ext uri="{FF2B5EF4-FFF2-40B4-BE49-F238E27FC236}">
              <a16:creationId xmlns:a16="http://schemas.microsoft.com/office/drawing/2014/main" id="{7D106BBD-0D4E-482C-AAC1-BE0041DF1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lum/>
          <a:alphaModFix/>
        </a:blip>
        <a:srcRect/>
        <a:stretch>
          <a:fillRect/>
        </a:stretch>
      </xdr:blipFill>
      <xdr:spPr>
        <a:xfrm>
          <a:off x="2181225" y="137255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45</xdr:row>
      <xdr:rowOff>0</xdr:rowOff>
    </xdr:from>
    <xdr:ext cx="466217" cy="313944"/>
    <xdr:pic>
      <xdr:nvPicPr>
        <xdr:cNvPr id="105" name="image107.png">
          <a:extLst>
            <a:ext uri="{FF2B5EF4-FFF2-40B4-BE49-F238E27FC236}">
              <a16:creationId xmlns:a16="http://schemas.microsoft.com/office/drawing/2014/main" id="{72408DD2-C611-42BB-AB04-6FB8E5038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>
          <a:lum/>
          <a:alphaModFix/>
        </a:blip>
        <a:srcRect/>
        <a:stretch>
          <a:fillRect/>
        </a:stretch>
      </xdr:blipFill>
      <xdr:spPr>
        <a:xfrm>
          <a:off x="0" y="1403985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46</xdr:row>
      <xdr:rowOff>0</xdr:rowOff>
    </xdr:from>
    <xdr:ext cx="475869" cy="313944"/>
    <xdr:pic>
      <xdr:nvPicPr>
        <xdr:cNvPr id="106" name="image102.png">
          <a:extLst>
            <a:ext uri="{FF2B5EF4-FFF2-40B4-BE49-F238E27FC236}">
              <a16:creationId xmlns:a16="http://schemas.microsoft.com/office/drawing/2014/main" id="{E470EEDF-3697-4CDC-8032-85DA44FFF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lum/>
          <a:alphaModFix/>
        </a:blip>
        <a:srcRect/>
        <a:stretch>
          <a:fillRect/>
        </a:stretch>
      </xdr:blipFill>
      <xdr:spPr>
        <a:xfrm>
          <a:off x="0" y="143541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46</xdr:row>
      <xdr:rowOff>0</xdr:rowOff>
    </xdr:from>
    <xdr:ext cx="466217" cy="313944"/>
    <xdr:pic>
      <xdr:nvPicPr>
        <xdr:cNvPr id="107" name="image104.png">
          <a:extLst>
            <a:ext uri="{FF2B5EF4-FFF2-40B4-BE49-F238E27FC236}">
              <a16:creationId xmlns:a16="http://schemas.microsoft.com/office/drawing/2014/main" id="{E50B9468-A4BE-4C47-BA31-3EAE0F45C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>
          <a:lum/>
          <a:alphaModFix/>
        </a:blip>
        <a:srcRect/>
        <a:stretch>
          <a:fillRect/>
        </a:stretch>
      </xdr:blipFill>
      <xdr:spPr>
        <a:xfrm>
          <a:off x="2181225" y="143541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47</xdr:row>
      <xdr:rowOff>0</xdr:rowOff>
    </xdr:from>
    <xdr:ext cx="475869" cy="313944"/>
    <xdr:pic>
      <xdr:nvPicPr>
        <xdr:cNvPr id="108" name="image103.png">
          <a:extLst>
            <a:ext uri="{FF2B5EF4-FFF2-40B4-BE49-F238E27FC236}">
              <a16:creationId xmlns:a16="http://schemas.microsoft.com/office/drawing/2014/main" id="{B014BCB9-0B50-4642-B5FB-318C35583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lum/>
          <a:alphaModFix/>
        </a:blip>
        <a:srcRect/>
        <a:stretch>
          <a:fillRect/>
        </a:stretch>
      </xdr:blipFill>
      <xdr:spPr>
        <a:xfrm>
          <a:off x="0" y="146685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47</xdr:row>
      <xdr:rowOff>0</xdr:rowOff>
    </xdr:from>
    <xdr:ext cx="475869" cy="313944"/>
    <xdr:pic>
      <xdr:nvPicPr>
        <xdr:cNvPr id="109" name="image115.png">
          <a:extLst>
            <a:ext uri="{FF2B5EF4-FFF2-40B4-BE49-F238E27FC236}">
              <a16:creationId xmlns:a16="http://schemas.microsoft.com/office/drawing/2014/main" id="{51463FF7-4194-41FB-8F07-72B54AA68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>
          <a:lum/>
          <a:alphaModFix/>
        </a:blip>
        <a:srcRect/>
        <a:stretch>
          <a:fillRect/>
        </a:stretch>
      </xdr:blipFill>
      <xdr:spPr>
        <a:xfrm>
          <a:off x="2181225" y="146685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48</xdr:row>
      <xdr:rowOff>0</xdr:rowOff>
    </xdr:from>
    <xdr:ext cx="475869" cy="313944"/>
    <xdr:pic>
      <xdr:nvPicPr>
        <xdr:cNvPr id="110" name="image106.png">
          <a:extLst>
            <a:ext uri="{FF2B5EF4-FFF2-40B4-BE49-F238E27FC236}">
              <a16:creationId xmlns:a16="http://schemas.microsoft.com/office/drawing/2014/main" id="{067A36B0-411B-4BB1-911B-2E253DC42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lum/>
          <a:alphaModFix/>
        </a:blip>
        <a:srcRect/>
        <a:stretch>
          <a:fillRect/>
        </a:stretch>
      </xdr:blipFill>
      <xdr:spPr>
        <a:xfrm>
          <a:off x="0" y="149828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48</xdr:row>
      <xdr:rowOff>0</xdr:rowOff>
    </xdr:from>
    <xdr:ext cx="466217" cy="313944"/>
    <xdr:pic>
      <xdr:nvPicPr>
        <xdr:cNvPr id="111" name="image114.png">
          <a:extLst>
            <a:ext uri="{FF2B5EF4-FFF2-40B4-BE49-F238E27FC236}">
              <a16:creationId xmlns:a16="http://schemas.microsoft.com/office/drawing/2014/main" id="{F01F6EB4-13FE-4B59-8246-28BF7D7A0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lum/>
          <a:alphaModFix/>
        </a:blip>
        <a:srcRect/>
        <a:stretch>
          <a:fillRect/>
        </a:stretch>
      </xdr:blipFill>
      <xdr:spPr>
        <a:xfrm>
          <a:off x="2181225" y="149828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49</xdr:row>
      <xdr:rowOff>0</xdr:rowOff>
    </xdr:from>
    <xdr:ext cx="475869" cy="313944"/>
    <xdr:pic>
      <xdr:nvPicPr>
        <xdr:cNvPr id="112" name="image108.png">
          <a:extLst>
            <a:ext uri="{FF2B5EF4-FFF2-40B4-BE49-F238E27FC236}">
              <a16:creationId xmlns:a16="http://schemas.microsoft.com/office/drawing/2014/main" id="{03B86E45-0BB1-4EC1-9A5C-E8A6A8013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lum/>
          <a:alphaModFix/>
        </a:blip>
        <a:srcRect/>
        <a:stretch>
          <a:fillRect/>
        </a:stretch>
      </xdr:blipFill>
      <xdr:spPr>
        <a:xfrm>
          <a:off x="0" y="152971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50</xdr:row>
      <xdr:rowOff>0</xdr:rowOff>
    </xdr:from>
    <xdr:ext cx="475869" cy="313944"/>
    <xdr:pic>
      <xdr:nvPicPr>
        <xdr:cNvPr id="113" name="image105.png">
          <a:extLst>
            <a:ext uri="{FF2B5EF4-FFF2-40B4-BE49-F238E27FC236}">
              <a16:creationId xmlns:a16="http://schemas.microsoft.com/office/drawing/2014/main" id="{89162F3C-0525-4AE0-9FFE-B56449B1F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>
          <a:lum/>
          <a:alphaModFix/>
        </a:blip>
        <a:srcRect/>
        <a:stretch>
          <a:fillRect/>
        </a:stretch>
      </xdr:blipFill>
      <xdr:spPr>
        <a:xfrm>
          <a:off x="0" y="156114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51</xdr:row>
      <xdr:rowOff>0</xdr:rowOff>
    </xdr:from>
    <xdr:ext cx="475869" cy="313944"/>
    <xdr:pic>
      <xdr:nvPicPr>
        <xdr:cNvPr id="114" name="image112.png">
          <a:extLst>
            <a:ext uri="{FF2B5EF4-FFF2-40B4-BE49-F238E27FC236}">
              <a16:creationId xmlns:a16="http://schemas.microsoft.com/office/drawing/2014/main" id="{1405E87D-CDF0-472F-BED5-ADE01B01E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lum/>
          <a:alphaModFix/>
        </a:blip>
        <a:srcRect/>
        <a:stretch>
          <a:fillRect/>
        </a:stretch>
      </xdr:blipFill>
      <xdr:spPr>
        <a:xfrm>
          <a:off x="0" y="159258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51</xdr:row>
      <xdr:rowOff>0</xdr:rowOff>
    </xdr:from>
    <xdr:ext cx="475869" cy="313944"/>
    <xdr:pic>
      <xdr:nvPicPr>
        <xdr:cNvPr id="115" name="image113.png">
          <a:extLst>
            <a:ext uri="{FF2B5EF4-FFF2-40B4-BE49-F238E27FC236}">
              <a16:creationId xmlns:a16="http://schemas.microsoft.com/office/drawing/2014/main" id="{8736563F-DFEB-454F-A66F-3BDCF9CEF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>
          <a:lum/>
          <a:alphaModFix/>
        </a:blip>
        <a:srcRect/>
        <a:stretch>
          <a:fillRect/>
        </a:stretch>
      </xdr:blipFill>
      <xdr:spPr>
        <a:xfrm>
          <a:off x="2181225" y="159258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53</xdr:row>
      <xdr:rowOff>0</xdr:rowOff>
    </xdr:from>
    <xdr:ext cx="475869" cy="313944"/>
    <xdr:pic>
      <xdr:nvPicPr>
        <xdr:cNvPr id="116" name="image120.png">
          <a:extLst>
            <a:ext uri="{FF2B5EF4-FFF2-40B4-BE49-F238E27FC236}">
              <a16:creationId xmlns:a16="http://schemas.microsoft.com/office/drawing/2014/main" id="{51BA46C2-C57E-4A46-A070-70A9E269B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lum/>
          <a:alphaModFix/>
        </a:blip>
        <a:srcRect/>
        <a:stretch>
          <a:fillRect/>
        </a:stretch>
      </xdr:blipFill>
      <xdr:spPr>
        <a:xfrm>
          <a:off x="0" y="165544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55</xdr:row>
      <xdr:rowOff>0</xdr:rowOff>
    </xdr:from>
    <xdr:ext cx="475869" cy="313944"/>
    <xdr:pic>
      <xdr:nvPicPr>
        <xdr:cNvPr id="117" name="image111.png">
          <a:extLst>
            <a:ext uri="{FF2B5EF4-FFF2-40B4-BE49-F238E27FC236}">
              <a16:creationId xmlns:a16="http://schemas.microsoft.com/office/drawing/2014/main" id="{8CBD4116-72E4-4F94-95C4-FBD3DB5BA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>
          <a:lum/>
          <a:alphaModFix/>
        </a:blip>
        <a:srcRect/>
        <a:stretch>
          <a:fillRect/>
        </a:stretch>
      </xdr:blipFill>
      <xdr:spPr>
        <a:xfrm>
          <a:off x="0" y="171831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56</xdr:row>
      <xdr:rowOff>0</xdr:rowOff>
    </xdr:from>
    <xdr:ext cx="475869" cy="313944"/>
    <xdr:pic>
      <xdr:nvPicPr>
        <xdr:cNvPr id="118" name="image274.png">
          <a:extLst>
            <a:ext uri="{FF2B5EF4-FFF2-40B4-BE49-F238E27FC236}">
              <a16:creationId xmlns:a16="http://schemas.microsoft.com/office/drawing/2014/main" id="{BE8B5C31-4FFB-42CA-9F60-FFD08C38B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lum/>
          <a:alphaModFix/>
        </a:blip>
        <a:srcRect/>
        <a:stretch>
          <a:fillRect/>
        </a:stretch>
      </xdr:blipFill>
      <xdr:spPr>
        <a:xfrm>
          <a:off x="0" y="174974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57</xdr:row>
      <xdr:rowOff>0</xdr:rowOff>
    </xdr:from>
    <xdr:ext cx="475869" cy="313944"/>
    <xdr:pic>
      <xdr:nvPicPr>
        <xdr:cNvPr id="119" name="image117.png">
          <a:extLst>
            <a:ext uri="{FF2B5EF4-FFF2-40B4-BE49-F238E27FC236}">
              <a16:creationId xmlns:a16="http://schemas.microsoft.com/office/drawing/2014/main" id="{407BD184-E43F-4E60-979B-211651DCD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>
          <a:lum/>
          <a:alphaModFix/>
        </a:blip>
        <a:srcRect/>
        <a:stretch>
          <a:fillRect/>
        </a:stretch>
      </xdr:blipFill>
      <xdr:spPr>
        <a:xfrm>
          <a:off x="0" y="178117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58</xdr:row>
      <xdr:rowOff>0</xdr:rowOff>
    </xdr:from>
    <xdr:ext cx="475869" cy="313944"/>
    <xdr:pic>
      <xdr:nvPicPr>
        <xdr:cNvPr id="120" name="image275.png">
          <a:extLst>
            <a:ext uri="{FF2B5EF4-FFF2-40B4-BE49-F238E27FC236}">
              <a16:creationId xmlns:a16="http://schemas.microsoft.com/office/drawing/2014/main" id="{4B42BB81-23C9-45FE-8CF2-D6DF550FB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lum/>
          <a:alphaModFix/>
        </a:blip>
        <a:srcRect/>
        <a:stretch>
          <a:fillRect/>
        </a:stretch>
      </xdr:blipFill>
      <xdr:spPr>
        <a:xfrm>
          <a:off x="0" y="181260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58</xdr:row>
      <xdr:rowOff>0</xdr:rowOff>
    </xdr:from>
    <xdr:ext cx="475869" cy="313944"/>
    <xdr:pic>
      <xdr:nvPicPr>
        <xdr:cNvPr id="121" name="image116.png">
          <a:extLst>
            <a:ext uri="{FF2B5EF4-FFF2-40B4-BE49-F238E27FC236}">
              <a16:creationId xmlns:a16="http://schemas.microsoft.com/office/drawing/2014/main" id="{DA406AAA-0691-416C-B4F1-2936B3579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>
          <a:lum/>
          <a:alphaModFix/>
        </a:blip>
        <a:srcRect/>
        <a:stretch>
          <a:fillRect/>
        </a:stretch>
      </xdr:blipFill>
      <xdr:spPr>
        <a:xfrm>
          <a:off x="2181225" y="181260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59</xdr:row>
      <xdr:rowOff>0</xdr:rowOff>
    </xdr:from>
    <xdr:ext cx="475869" cy="313944"/>
    <xdr:pic>
      <xdr:nvPicPr>
        <xdr:cNvPr id="122" name="image118.png">
          <a:extLst>
            <a:ext uri="{FF2B5EF4-FFF2-40B4-BE49-F238E27FC236}">
              <a16:creationId xmlns:a16="http://schemas.microsoft.com/office/drawing/2014/main" id="{5EA3D1EC-29C9-43C3-8852-F3D545D8D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lum/>
          <a:alphaModFix/>
        </a:blip>
        <a:srcRect/>
        <a:stretch>
          <a:fillRect/>
        </a:stretch>
      </xdr:blipFill>
      <xdr:spPr>
        <a:xfrm>
          <a:off x="0" y="184404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60</xdr:row>
      <xdr:rowOff>0</xdr:rowOff>
    </xdr:from>
    <xdr:ext cx="475869" cy="313944"/>
    <xdr:pic>
      <xdr:nvPicPr>
        <xdr:cNvPr id="123" name="image273.png">
          <a:extLst>
            <a:ext uri="{FF2B5EF4-FFF2-40B4-BE49-F238E27FC236}">
              <a16:creationId xmlns:a16="http://schemas.microsoft.com/office/drawing/2014/main" id="{8CDA42FD-272F-4BB9-8E0B-4FD232B79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>
          <a:lum/>
          <a:alphaModFix/>
        </a:blip>
        <a:srcRect/>
        <a:stretch>
          <a:fillRect/>
        </a:stretch>
      </xdr:blipFill>
      <xdr:spPr>
        <a:xfrm>
          <a:off x="0" y="187547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61</xdr:row>
      <xdr:rowOff>0</xdr:rowOff>
    </xdr:from>
    <xdr:ext cx="475869" cy="313944"/>
    <xdr:pic>
      <xdr:nvPicPr>
        <xdr:cNvPr id="124" name="image119.png">
          <a:extLst>
            <a:ext uri="{FF2B5EF4-FFF2-40B4-BE49-F238E27FC236}">
              <a16:creationId xmlns:a16="http://schemas.microsoft.com/office/drawing/2014/main" id="{F44ADA61-874B-4DAA-A94F-9003293B4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lum/>
          <a:alphaModFix/>
        </a:blip>
        <a:srcRect/>
        <a:stretch>
          <a:fillRect/>
        </a:stretch>
      </xdr:blipFill>
      <xdr:spPr>
        <a:xfrm>
          <a:off x="0" y="190690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62</xdr:row>
      <xdr:rowOff>0</xdr:rowOff>
    </xdr:from>
    <xdr:ext cx="475869" cy="313944"/>
    <xdr:pic>
      <xdr:nvPicPr>
        <xdr:cNvPr id="125" name="image130.png">
          <a:extLst>
            <a:ext uri="{FF2B5EF4-FFF2-40B4-BE49-F238E27FC236}">
              <a16:creationId xmlns:a16="http://schemas.microsoft.com/office/drawing/2014/main" id="{EB9F3675-3F97-4239-949D-686572615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>
          <a:lum/>
          <a:alphaModFix/>
        </a:blip>
        <a:srcRect/>
        <a:stretch>
          <a:fillRect/>
        </a:stretch>
      </xdr:blipFill>
      <xdr:spPr>
        <a:xfrm>
          <a:off x="0" y="193833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63</xdr:row>
      <xdr:rowOff>0</xdr:rowOff>
    </xdr:from>
    <xdr:ext cx="475869" cy="313944"/>
    <xdr:pic>
      <xdr:nvPicPr>
        <xdr:cNvPr id="126" name="image121.png">
          <a:extLst>
            <a:ext uri="{FF2B5EF4-FFF2-40B4-BE49-F238E27FC236}">
              <a16:creationId xmlns:a16="http://schemas.microsoft.com/office/drawing/2014/main" id="{D14F7FC0-A967-470A-AEB9-D560FDFBA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lum/>
          <a:alphaModFix/>
        </a:blip>
        <a:srcRect/>
        <a:stretch>
          <a:fillRect/>
        </a:stretch>
      </xdr:blipFill>
      <xdr:spPr>
        <a:xfrm>
          <a:off x="0" y="196977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64</xdr:row>
      <xdr:rowOff>0</xdr:rowOff>
    </xdr:from>
    <xdr:ext cx="475869" cy="313944"/>
    <xdr:pic>
      <xdr:nvPicPr>
        <xdr:cNvPr id="127" name="image126.png">
          <a:extLst>
            <a:ext uri="{FF2B5EF4-FFF2-40B4-BE49-F238E27FC236}">
              <a16:creationId xmlns:a16="http://schemas.microsoft.com/office/drawing/2014/main" id="{5B4BB7D2-5C5E-45F6-AE61-E74A55AFE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>
          <a:lum/>
          <a:alphaModFix/>
        </a:blip>
        <a:srcRect/>
        <a:stretch>
          <a:fillRect/>
        </a:stretch>
      </xdr:blipFill>
      <xdr:spPr>
        <a:xfrm>
          <a:off x="0" y="200120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65</xdr:row>
      <xdr:rowOff>0</xdr:rowOff>
    </xdr:from>
    <xdr:ext cx="475869" cy="313944"/>
    <xdr:pic>
      <xdr:nvPicPr>
        <xdr:cNvPr id="128" name="image123.png">
          <a:extLst>
            <a:ext uri="{FF2B5EF4-FFF2-40B4-BE49-F238E27FC236}">
              <a16:creationId xmlns:a16="http://schemas.microsoft.com/office/drawing/2014/main" id="{7A5F94A4-E9A3-4D02-8EAF-B30725D26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lum/>
          <a:alphaModFix/>
        </a:blip>
        <a:srcRect/>
        <a:stretch>
          <a:fillRect/>
        </a:stretch>
      </xdr:blipFill>
      <xdr:spPr>
        <a:xfrm>
          <a:off x="0" y="203263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66</xdr:row>
      <xdr:rowOff>0</xdr:rowOff>
    </xdr:from>
    <xdr:ext cx="466217" cy="313944"/>
    <xdr:pic>
      <xdr:nvPicPr>
        <xdr:cNvPr id="129" name="image124.png">
          <a:extLst>
            <a:ext uri="{FF2B5EF4-FFF2-40B4-BE49-F238E27FC236}">
              <a16:creationId xmlns:a16="http://schemas.microsoft.com/office/drawing/2014/main" id="{421F2FD6-237F-4978-8DDE-9AB26FFFF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>
          <a:lum/>
          <a:alphaModFix/>
        </a:blip>
        <a:srcRect/>
        <a:stretch>
          <a:fillRect/>
        </a:stretch>
      </xdr:blipFill>
      <xdr:spPr>
        <a:xfrm>
          <a:off x="0" y="206406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67</xdr:row>
      <xdr:rowOff>0</xdr:rowOff>
    </xdr:from>
    <xdr:ext cx="466217" cy="313944"/>
    <xdr:pic>
      <xdr:nvPicPr>
        <xdr:cNvPr id="130" name="image122.png">
          <a:extLst>
            <a:ext uri="{FF2B5EF4-FFF2-40B4-BE49-F238E27FC236}">
              <a16:creationId xmlns:a16="http://schemas.microsoft.com/office/drawing/2014/main" id="{021F2855-8BF7-48F0-90B6-C6736701E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lum/>
          <a:alphaModFix/>
        </a:blip>
        <a:srcRect/>
        <a:stretch>
          <a:fillRect/>
        </a:stretch>
      </xdr:blipFill>
      <xdr:spPr>
        <a:xfrm>
          <a:off x="0" y="2095500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67</xdr:row>
      <xdr:rowOff>0</xdr:rowOff>
    </xdr:from>
    <xdr:ext cx="475869" cy="313944"/>
    <xdr:pic>
      <xdr:nvPicPr>
        <xdr:cNvPr id="131" name="image125.png">
          <a:extLst>
            <a:ext uri="{FF2B5EF4-FFF2-40B4-BE49-F238E27FC236}">
              <a16:creationId xmlns:a16="http://schemas.microsoft.com/office/drawing/2014/main" id="{1279F33F-5389-4EA1-B80A-D6A31F3FA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>
          <a:lum/>
          <a:alphaModFix/>
        </a:blip>
        <a:srcRect/>
        <a:stretch>
          <a:fillRect/>
        </a:stretch>
      </xdr:blipFill>
      <xdr:spPr>
        <a:xfrm>
          <a:off x="2181225" y="209550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68</xdr:row>
      <xdr:rowOff>0</xdr:rowOff>
    </xdr:from>
    <xdr:ext cx="466217" cy="313944"/>
    <xdr:pic>
      <xdr:nvPicPr>
        <xdr:cNvPr id="132" name="image129.png">
          <a:extLst>
            <a:ext uri="{FF2B5EF4-FFF2-40B4-BE49-F238E27FC236}">
              <a16:creationId xmlns:a16="http://schemas.microsoft.com/office/drawing/2014/main" id="{564FE246-883E-4B64-B799-124E12C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lum/>
          <a:alphaModFix/>
        </a:blip>
        <a:srcRect/>
        <a:stretch>
          <a:fillRect/>
        </a:stretch>
      </xdr:blipFill>
      <xdr:spPr>
        <a:xfrm>
          <a:off x="0" y="212693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68</xdr:row>
      <xdr:rowOff>0</xdr:rowOff>
    </xdr:from>
    <xdr:ext cx="475869" cy="313944"/>
    <xdr:pic>
      <xdr:nvPicPr>
        <xdr:cNvPr id="133" name="image128.png">
          <a:extLst>
            <a:ext uri="{FF2B5EF4-FFF2-40B4-BE49-F238E27FC236}">
              <a16:creationId xmlns:a16="http://schemas.microsoft.com/office/drawing/2014/main" id="{C9FBC0B3-FC61-4183-880B-B2BD6D5D9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>
          <a:lum/>
          <a:alphaModFix/>
        </a:blip>
        <a:srcRect/>
        <a:stretch>
          <a:fillRect/>
        </a:stretch>
      </xdr:blipFill>
      <xdr:spPr>
        <a:xfrm>
          <a:off x="2181225" y="212693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69</xdr:row>
      <xdr:rowOff>0</xdr:rowOff>
    </xdr:from>
    <xdr:ext cx="466217" cy="313944"/>
    <xdr:pic>
      <xdr:nvPicPr>
        <xdr:cNvPr id="134" name="image127.png">
          <a:extLst>
            <a:ext uri="{FF2B5EF4-FFF2-40B4-BE49-F238E27FC236}">
              <a16:creationId xmlns:a16="http://schemas.microsoft.com/office/drawing/2014/main" id="{E6D0432C-60AA-482E-BCC4-8390CA643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lum/>
          <a:alphaModFix/>
        </a:blip>
        <a:srcRect/>
        <a:stretch>
          <a:fillRect/>
        </a:stretch>
      </xdr:blipFill>
      <xdr:spPr>
        <a:xfrm>
          <a:off x="0" y="2158365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70</xdr:row>
      <xdr:rowOff>0</xdr:rowOff>
    </xdr:from>
    <xdr:ext cx="466217" cy="313944"/>
    <xdr:pic>
      <xdr:nvPicPr>
        <xdr:cNvPr id="135" name="image131.png">
          <a:extLst>
            <a:ext uri="{FF2B5EF4-FFF2-40B4-BE49-F238E27FC236}">
              <a16:creationId xmlns:a16="http://schemas.microsoft.com/office/drawing/2014/main" id="{9DD42EF8-6E95-4785-9391-5CB9CA989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>
          <a:lum/>
          <a:alphaModFix/>
        </a:blip>
        <a:srcRect/>
        <a:stretch>
          <a:fillRect/>
        </a:stretch>
      </xdr:blipFill>
      <xdr:spPr>
        <a:xfrm>
          <a:off x="0" y="2189797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70</xdr:row>
      <xdr:rowOff>0</xdr:rowOff>
    </xdr:from>
    <xdr:ext cx="475869" cy="313944"/>
    <xdr:pic>
      <xdr:nvPicPr>
        <xdr:cNvPr id="136" name="image134.png">
          <a:extLst>
            <a:ext uri="{FF2B5EF4-FFF2-40B4-BE49-F238E27FC236}">
              <a16:creationId xmlns:a16="http://schemas.microsoft.com/office/drawing/2014/main" id="{BCEFE0E7-ABD8-4E70-9776-670C47FE1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lum/>
          <a:alphaModFix/>
        </a:blip>
        <a:srcRect/>
        <a:stretch>
          <a:fillRect/>
        </a:stretch>
      </xdr:blipFill>
      <xdr:spPr>
        <a:xfrm>
          <a:off x="2181225" y="218979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71</xdr:row>
      <xdr:rowOff>0</xdr:rowOff>
    </xdr:from>
    <xdr:ext cx="475869" cy="313944"/>
    <xdr:pic>
      <xdr:nvPicPr>
        <xdr:cNvPr id="137" name="image136.png">
          <a:extLst>
            <a:ext uri="{FF2B5EF4-FFF2-40B4-BE49-F238E27FC236}">
              <a16:creationId xmlns:a16="http://schemas.microsoft.com/office/drawing/2014/main" id="{270EE495-645C-42E0-844A-15F200006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>
          <a:lum/>
          <a:alphaModFix/>
        </a:blip>
        <a:srcRect/>
        <a:stretch>
          <a:fillRect/>
        </a:stretch>
      </xdr:blipFill>
      <xdr:spPr>
        <a:xfrm>
          <a:off x="0" y="222123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71</xdr:row>
      <xdr:rowOff>0</xdr:rowOff>
    </xdr:from>
    <xdr:ext cx="475869" cy="313944"/>
    <xdr:pic>
      <xdr:nvPicPr>
        <xdr:cNvPr id="138" name="image133.png">
          <a:extLst>
            <a:ext uri="{FF2B5EF4-FFF2-40B4-BE49-F238E27FC236}">
              <a16:creationId xmlns:a16="http://schemas.microsoft.com/office/drawing/2014/main" id="{427D91D0-3662-4C51-B4EA-60C82741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lum/>
          <a:alphaModFix/>
        </a:blip>
        <a:srcRect/>
        <a:stretch>
          <a:fillRect/>
        </a:stretch>
      </xdr:blipFill>
      <xdr:spPr>
        <a:xfrm>
          <a:off x="2181225" y="222123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72</xdr:row>
      <xdr:rowOff>0</xdr:rowOff>
    </xdr:from>
    <xdr:ext cx="475869" cy="313944"/>
    <xdr:pic>
      <xdr:nvPicPr>
        <xdr:cNvPr id="139" name="image138.png">
          <a:extLst>
            <a:ext uri="{FF2B5EF4-FFF2-40B4-BE49-F238E27FC236}">
              <a16:creationId xmlns:a16="http://schemas.microsoft.com/office/drawing/2014/main" id="{DC2F608B-3DC9-4937-84E6-744294C17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>
          <a:lum/>
          <a:alphaModFix/>
        </a:blip>
        <a:srcRect/>
        <a:stretch>
          <a:fillRect/>
        </a:stretch>
      </xdr:blipFill>
      <xdr:spPr>
        <a:xfrm>
          <a:off x="0" y="225266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72</xdr:row>
      <xdr:rowOff>0</xdr:rowOff>
    </xdr:from>
    <xdr:ext cx="466217" cy="313944"/>
    <xdr:pic>
      <xdr:nvPicPr>
        <xdr:cNvPr id="140" name="image132.png">
          <a:extLst>
            <a:ext uri="{FF2B5EF4-FFF2-40B4-BE49-F238E27FC236}">
              <a16:creationId xmlns:a16="http://schemas.microsoft.com/office/drawing/2014/main" id="{7BFC5421-7927-4597-873E-9D7E4507A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lum/>
          <a:alphaModFix/>
        </a:blip>
        <a:srcRect/>
        <a:stretch>
          <a:fillRect/>
        </a:stretch>
      </xdr:blipFill>
      <xdr:spPr>
        <a:xfrm>
          <a:off x="2181225" y="22526625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73</xdr:row>
      <xdr:rowOff>0</xdr:rowOff>
    </xdr:from>
    <xdr:ext cx="475869" cy="313944"/>
    <xdr:pic>
      <xdr:nvPicPr>
        <xdr:cNvPr id="141" name="image137.png">
          <a:extLst>
            <a:ext uri="{FF2B5EF4-FFF2-40B4-BE49-F238E27FC236}">
              <a16:creationId xmlns:a16="http://schemas.microsoft.com/office/drawing/2014/main" id="{D33D38F6-DE9B-420F-B73E-45310C953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>
          <a:lum/>
          <a:alphaModFix/>
        </a:blip>
        <a:srcRect/>
        <a:stretch>
          <a:fillRect/>
        </a:stretch>
      </xdr:blipFill>
      <xdr:spPr>
        <a:xfrm>
          <a:off x="0" y="228409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73</xdr:row>
      <xdr:rowOff>0</xdr:rowOff>
    </xdr:from>
    <xdr:ext cx="475869" cy="313944"/>
    <xdr:pic>
      <xdr:nvPicPr>
        <xdr:cNvPr id="142" name="image135.png">
          <a:extLst>
            <a:ext uri="{FF2B5EF4-FFF2-40B4-BE49-F238E27FC236}">
              <a16:creationId xmlns:a16="http://schemas.microsoft.com/office/drawing/2014/main" id="{4AD20539-390F-4FFC-AB6E-5D6219B8C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lum/>
          <a:alphaModFix/>
        </a:blip>
        <a:srcRect/>
        <a:stretch>
          <a:fillRect/>
        </a:stretch>
      </xdr:blipFill>
      <xdr:spPr>
        <a:xfrm>
          <a:off x="2181225" y="228409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74</xdr:row>
      <xdr:rowOff>0</xdr:rowOff>
    </xdr:from>
    <xdr:ext cx="475869" cy="313944"/>
    <xdr:pic>
      <xdr:nvPicPr>
        <xdr:cNvPr id="143" name="image142.png">
          <a:extLst>
            <a:ext uri="{FF2B5EF4-FFF2-40B4-BE49-F238E27FC236}">
              <a16:creationId xmlns:a16="http://schemas.microsoft.com/office/drawing/2014/main" id="{FC2ED1C5-75B5-41AE-97DD-DBC591574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>
          <a:lum/>
          <a:alphaModFix/>
        </a:blip>
        <a:srcRect/>
        <a:stretch>
          <a:fillRect/>
        </a:stretch>
      </xdr:blipFill>
      <xdr:spPr>
        <a:xfrm>
          <a:off x="0" y="231552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75</xdr:row>
      <xdr:rowOff>0</xdr:rowOff>
    </xdr:from>
    <xdr:ext cx="475869" cy="313944"/>
    <xdr:pic>
      <xdr:nvPicPr>
        <xdr:cNvPr id="144" name="image141.png">
          <a:extLst>
            <a:ext uri="{FF2B5EF4-FFF2-40B4-BE49-F238E27FC236}">
              <a16:creationId xmlns:a16="http://schemas.microsoft.com/office/drawing/2014/main" id="{BCD114D5-701B-42E2-978A-3C13EA556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lum/>
          <a:alphaModFix/>
        </a:blip>
        <a:srcRect/>
        <a:stretch>
          <a:fillRect/>
        </a:stretch>
      </xdr:blipFill>
      <xdr:spPr>
        <a:xfrm>
          <a:off x="0" y="234696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75</xdr:row>
      <xdr:rowOff>0</xdr:rowOff>
    </xdr:from>
    <xdr:ext cx="475869" cy="313944"/>
    <xdr:pic>
      <xdr:nvPicPr>
        <xdr:cNvPr id="145" name="image140.png">
          <a:extLst>
            <a:ext uri="{FF2B5EF4-FFF2-40B4-BE49-F238E27FC236}">
              <a16:creationId xmlns:a16="http://schemas.microsoft.com/office/drawing/2014/main" id="{9CBF4EBF-E192-486D-A27F-33E2B3BAE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>
          <a:lum/>
          <a:alphaModFix/>
        </a:blip>
        <a:srcRect/>
        <a:stretch>
          <a:fillRect/>
        </a:stretch>
      </xdr:blipFill>
      <xdr:spPr>
        <a:xfrm>
          <a:off x="2181225" y="234696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76</xdr:row>
      <xdr:rowOff>0</xdr:rowOff>
    </xdr:from>
    <xdr:ext cx="475869" cy="313944"/>
    <xdr:pic>
      <xdr:nvPicPr>
        <xdr:cNvPr id="146" name="image143.png">
          <a:extLst>
            <a:ext uri="{FF2B5EF4-FFF2-40B4-BE49-F238E27FC236}">
              <a16:creationId xmlns:a16="http://schemas.microsoft.com/office/drawing/2014/main" id="{D4C40616-5B4C-4647-8A9C-78E3467CC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lum/>
          <a:alphaModFix/>
        </a:blip>
        <a:srcRect/>
        <a:stretch>
          <a:fillRect/>
        </a:stretch>
      </xdr:blipFill>
      <xdr:spPr>
        <a:xfrm>
          <a:off x="0" y="237839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76</xdr:row>
      <xdr:rowOff>0</xdr:rowOff>
    </xdr:from>
    <xdr:ext cx="475869" cy="313944"/>
    <xdr:pic>
      <xdr:nvPicPr>
        <xdr:cNvPr id="147" name="image145.png">
          <a:extLst>
            <a:ext uri="{FF2B5EF4-FFF2-40B4-BE49-F238E27FC236}">
              <a16:creationId xmlns:a16="http://schemas.microsoft.com/office/drawing/2014/main" id="{77104B38-155A-4984-BC1C-25127B8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>
          <a:lum/>
          <a:alphaModFix/>
        </a:blip>
        <a:srcRect/>
        <a:stretch>
          <a:fillRect/>
        </a:stretch>
      </xdr:blipFill>
      <xdr:spPr>
        <a:xfrm>
          <a:off x="2181225" y="237839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77</xdr:row>
      <xdr:rowOff>0</xdr:rowOff>
    </xdr:from>
    <xdr:ext cx="475869" cy="313944"/>
    <xdr:pic>
      <xdr:nvPicPr>
        <xdr:cNvPr id="148" name="image139.png">
          <a:extLst>
            <a:ext uri="{FF2B5EF4-FFF2-40B4-BE49-F238E27FC236}">
              <a16:creationId xmlns:a16="http://schemas.microsoft.com/office/drawing/2014/main" id="{0D45ABBE-5B36-4433-9239-A94BAD549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lum/>
          <a:alphaModFix/>
        </a:blip>
        <a:srcRect/>
        <a:stretch>
          <a:fillRect/>
        </a:stretch>
      </xdr:blipFill>
      <xdr:spPr>
        <a:xfrm>
          <a:off x="0" y="240982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77</xdr:row>
      <xdr:rowOff>0</xdr:rowOff>
    </xdr:from>
    <xdr:ext cx="475869" cy="313944"/>
    <xdr:pic>
      <xdr:nvPicPr>
        <xdr:cNvPr id="149" name="image144.png">
          <a:extLst>
            <a:ext uri="{FF2B5EF4-FFF2-40B4-BE49-F238E27FC236}">
              <a16:creationId xmlns:a16="http://schemas.microsoft.com/office/drawing/2014/main" id="{D4AC2028-A72C-43B2-A672-06F5FF8C9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>
          <a:lum/>
          <a:alphaModFix/>
        </a:blip>
        <a:srcRect/>
        <a:stretch>
          <a:fillRect/>
        </a:stretch>
      </xdr:blipFill>
      <xdr:spPr>
        <a:xfrm>
          <a:off x="2181225" y="2409825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78</xdr:row>
      <xdr:rowOff>0</xdr:rowOff>
    </xdr:from>
    <xdr:ext cx="475869" cy="313944"/>
    <xdr:pic>
      <xdr:nvPicPr>
        <xdr:cNvPr id="150" name="image147.png">
          <a:extLst>
            <a:ext uri="{FF2B5EF4-FFF2-40B4-BE49-F238E27FC236}">
              <a16:creationId xmlns:a16="http://schemas.microsoft.com/office/drawing/2014/main" id="{2063C41C-578B-4703-860E-C0A8EA27F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lum/>
          <a:alphaModFix/>
        </a:blip>
        <a:srcRect/>
        <a:stretch>
          <a:fillRect/>
        </a:stretch>
      </xdr:blipFill>
      <xdr:spPr>
        <a:xfrm>
          <a:off x="0" y="2441257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79</xdr:row>
      <xdr:rowOff>0</xdr:rowOff>
    </xdr:from>
    <xdr:ext cx="466217" cy="313944"/>
    <xdr:pic>
      <xdr:nvPicPr>
        <xdr:cNvPr id="151" name="image146.png">
          <a:extLst>
            <a:ext uri="{FF2B5EF4-FFF2-40B4-BE49-F238E27FC236}">
              <a16:creationId xmlns:a16="http://schemas.microsoft.com/office/drawing/2014/main" id="{D058475A-1A1E-44FF-B18E-BF5701F4F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>
          <a:lum/>
          <a:alphaModFix/>
        </a:blip>
        <a:srcRect/>
        <a:stretch>
          <a:fillRect/>
        </a:stretch>
      </xdr:blipFill>
      <xdr:spPr>
        <a:xfrm>
          <a:off x="0" y="24726900"/>
          <a:ext cx="466217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4</xdr:col>
      <xdr:colOff>0</xdr:colOff>
      <xdr:row>79</xdr:row>
      <xdr:rowOff>0</xdr:rowOff>
    </xdr:from>
    <xdr:ext cx="475869" cy="313944"/>
    <xdr:pic>
      <xdr:nvPicPr>
        <xdr:cNvPr id="152" name="image148.png">
          <a:extLst>
            <a:ext uri="{FF2B5EF4-FFF2-40B4-BE49-F238E27FC236}">
              <a16:creationId xmlns:a16="http://schemas.microsoft.com/office/drawing/2014/main" id="{78179467-B09E-41FE-B1A4-EB5A99E0E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lum/>
          <a:alphaModFix/>
        </a:blip>
        <a:srcRect/>
        <a:stretch>
          <a:fillRect/>
        </a:stretch>
      </xdr:blipFill>
      <xdr:spPr>
        <a:xfrm>
          <a:off x="2181225" y="24726900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80</xdr:row>
      <xdr:rowOff>0</xdr:rowOff>
    </xdr:from>
    <xdr:ext cx="475869" cy="313944"/>
    <xdr:pic>
      <xdr:nvPicPr>
        <xdr:cNvPr id="153" name="image149.png">
          <a:extLst>
            <a:ext uri="{FF2B5EF4-FFF2-40B4-BE49-F238E27FC236}">
              <a16:creationId xmlns:a16="http://schemas.microsoft.com/office/drawing/2014/main" id="{B410D037-FF08-4948-9B02-3E1131836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>
          <a:lum/>
          <a:alphaModFix/>
        </a:blip>
        <a:srcRect/>
        <a:stretch>
          <a:fillRect/>
        </a:stretch>
      </xdr:blipFill>
      <xdr:spPr>
        <a:xfrm>
          <a:off x="0" y="25041225"/>
          <a:ext cx="475869" cy="313944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32994" cy="218821"/>
    <xdr:pic>
      <xdr:nvPicPr>
        <xdr:cNvPr id="2" name="image150.png">
          <a:extLst>
            <a:ext uri="{FF2B5EF4-FFF2-40B4-BE49-F238E27FC236}">
              <a16:creationId xmlns:a16="http://schemas.microsoft.com/office/drawing/2014/main" id="{DBB0C3D9-8024-4F13-9A28-5D27A45EA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2190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</xdr:row>
      <xdr:rowOff>0</xdr:rowOff>
    </xdr:from>
    <xdr:ext cx="323595" cy="218821"/>
    <xdr:pic>
      <xdr:nvPicPr>
        <xdr:cNvPr id="3" name="image154.png">
          <a:extLst>
            <a:ext uri="{FF2B5EF4-FFF2-40B4-BE49-F238E27FC236}">
              <a16:creationId xmlns:a16="http://schemas.microsoft.com/office/drawing/2014/main" id="{38ED425A-0EEA-41ED-ACAD-0F0D2A079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lum/>
          <a:alphaModFix/>
        </a:blip>
        <a:srcRect/>
        <a:stretch>
          <a:fillRect/>
        </a:stretch>
      </xdr:blipFill>
      <xdr:spPr>
        <a:xfrm>
          <a:off x="0" y="6572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</xdr:row>
      <xdr:rowOff>0</xdr:rowOff>
    </xdr:from>
    <xdr:ext cx="332994" cy="218821"/>
    <xdr:pic>
      <xdr:nvPicPr>
        <xdr:cNvPr id="4" name="image155.png">
          <a:extLst>
            <a:ext uri="{FF2B5EF4-FFF2-40B4-BE49-F238E27FC236}">
              <a16:creationId xmlns:a16="http://schemas.microsoft.com/office/drawing/2014/main" id="{3A1C4FF8-6460-420D-923B-D98F4A6AF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lum/>
          <a:alphaModFix/>
        </a:blip>
        <a:srcRect/>
        <a:stretch>
          <a:fillRect/>
        </a:stretch>
      </xdr:blipFill>
      <xdr:spPr>
        <a:xfrm>
          <a:off x="0" y="10953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</xdr:row>
      <xdr:rowOff>0</xdr:rowOff>
    </xdr:from>
    <xdr:ext cx="332994" cy="218821"/>
    <xdr:pic>
      <xdr:nvPicPr>
        <xdr:cNvPr id="5" name="image152.png">
          <a:extLst>
            <a:ext uri="{FF2B5EF4-FFF2-40B4-BE49-F238E27FC236}">
              <a16:creationId xmlns:a16="http://schemas.microsoft.com/office/drawing/2014/main" id="{0517CA32-652B-4532-9106-BD2367B2A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lum/>
          <a:alphaModFix/>
        </a:blip>
        <a:srcRect/>
        <a:stretch>
          <a:fillRect/>
        </a:stretch>
      </xdr:blipFill>
      <xdr:spPr>
        <a:xfrm>
          <a:off x="0" y="15335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9</xdr:row>
      <xdr:rowOff>0</xdr:rowOff>
    </xdr:from>
    <xdr:ext cx="332994" cy="218821"/>
    <xdr:pic>
      <xdr:nvPicPr>
        <xdr:cNvPr id="6" name="image151.png">
          <a:extLst>
            <a:ext uri="{FF2B5EF4-FFF2-40B4-BE49-F238E27FC236}">
              <a16:creationId xmlns:a16="http://schemas.microsoft.com/office/drawing/2014/main" id="{AF5A0573-A783-4E83-809B-52688EABA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lum/>
          <a:alphaModFix/>
        </a:blip>
        <a:srcRect/>
        <a:stretch>
          <a:fillRect/>
        </a:stretch>
      </xdr:blipFill>
      <xdr:spPr>
        <a:xfrm>
          <a:off x="0" y="19716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11</xdr:row>
      <xdr:rowOff>0</xdr:rowOff>
    </xdr:from>
    <xdr:ext cx="332994" cy="218821"/>
    <xdr:pic>
      <xdr:nvPicPr>
        <xdr:cNvPr id="7" name="image157.png">
          <a:extLst>
            <a:ext uri="{FF2B5EF4-FFF2-40B4-BE49-F238E27FC236}">
              <a16:creationId xmlns:a16="http://schemas.microsoft.com/office/drawing/2014/main" id="{8CC20C02-E874-4032-8908-289401300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lum/>
          <a:alphaModFix/>
        </a:blip>
        <a:srcRect/>
        <a:stretch>
          <a:fillRect/>
        </a:stretch>
      </xdr:blipFill>
      <xdr:spPr>
        <a:xfrm>
          <a:off x="0" y="24098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13</xdr:row>
      <xdr:rowOff>0</xdr:rowOff>
    </xdr:from>
    <xdr:ext cx="332994" cy="218821"/>
    <xdr:pic>
      <xdr:nvPicPr>
        <xdr:cNvPr id="8" name="image159.png">
          <a:extLst>
            <a:ext uri="{FF2B5EF4-FFF2-40B4-BE49-F238E27FC236}">
              <a16:creationId xmlns:a16="http://schemas.microsoft.com/office/drawing/2014/main" id="{AC71A13D-0C8C-4C20-8954-ABA70382A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lum/>
          <a:alphaModFix/>
        </a:blip>
        <a:srcRect/>
        <a:stretch>
          <a:fillRect/>
        </a:stretch>
      </xdr:blipFill>
      <xdr:spPr>
        <a:xfrm>
          <a:off x="0" y="28479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15</xdr:row>
      <xdr:rowOff>0</xdr:rowOff>
    </xdr:from>
    <xdr:ext cx="323595" cy="218821"/>
    <xdr:pic>
      <xdr:nvPicPr>
        <xdr:cNvPr id="9" name="image153.png">
          <a:extLst>
            <a:ext uri="{FF2B5EF4-FFF2-40B4-BE49-F238E27FC236}">
              <a16:creationId xmlns:a16="http://schemas.microsoft.com/office/drawing/2014/main" id="{A4D178EF-10F3-48C1-B2F7-5A83F34D8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lum/>
          <a:alphaModFix/>
        </a:blip>
        <a:srcRect/>
        <a:stretch>
          <a:fillRect/>
        </a:stretch>
      </xdr:blipFill>
      <xdr:spPr>
        <a:xfrm>
          <a:off x="0" y="32861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19</xdr:row>
      <xdr:rowOff>0</xdr:rowOff>
    </xdr:from>
    <xdr:ext cx="332994" cy="218821"/>
    <xdr:pic>
      <xdr:nvPicPr>
        <xdr:cNvPr id="10" name="image156.png">
          <a:extLst>
            <a:ext uri="{FF2B5EF4-FFF2-40B4-BE49-F238E27FC236}">
              <a16:creationId xmlns:a16="http://schemas.microsoft.com/office/drawing/2014/main" id="{65F772D5-1913-4487-8964-9323A4E27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lum/>
          <a:alphaModFix/>
        </a:blip>
        <a:srcRect/>
        <a:stretch>
          <a:fillRect/>
        </a:stretch>
      </xdr:blipFill>
      <xdr:spPr>
        <a:xfrm>
          <a:off x="0" y="46005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21</xdr:row>
      <xdr:rowOff>0</xdr:rowOff>
    </xdr:from>
    <xdr:ext cx="332994" cy="218821"/>
    <xdr:pic>
      <xdr:nvPicPr>
        <xdr:cNvPr id="11" name="image160.png">
          <a:extLst>
            <a:ext uri="{FF2B5EF4-FFF2-40B4-BE49-F238E27FC236}">
              <a16:creationId xmlns:a16="http://schemas.microsoft.com/office/drawing/2014/main" id="{6402D6C7-5035-4F05-BBA5-885110945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lum/>
          <a:alphaModFix/>
        </a:blip>
        <a:srcRect/>
        <a:stretch>
          <a:fillRect/>
        </a:stretch>
      </xdr:blipFill>
      <xdr:spPr>
        <a:xfrm>
          <a:off x="0" y="50387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23</xdr:row>
      <xdr:rowOff>0</xdr:rowOff>
    </xdr:from>
    <xdr:ext cx="332994" cy="218821"/>
    <xdr:pic>
      <xdr:nvPicPr>
        <xdr:cNvPr id="12" name="image158.png">
          <a:extLst>
            <a:ext uri="{FF2B5EF4-FFF2-40B4-BE49-F238E27FC236}">
              <a16:creationId xmlns:a16="http://schemas.microsoft.com/office/drawing/2014/main" id="{BAC424C5-98CA-4ED9-9976-FD8FC8BBB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lum/>
          <a:alphaModFix/>
        </a:blip>
        <a:srcRect/>
        <a:stretch>
          <a:fillRect/>
        </a:stretch>
      </xdr:blipFill>
      <xdr:spPr>
        <a:xfrm>
          <a:off x="0" y="54768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25</xdr:row>
      <xdr:rowOff>0</xdr:rowOff>
    </xdr:from>
    <xdr:ext cx="332994" cy="218821"/>
    <xdr:pic>
      <xdr:nvPicPr>
        <xdr:cNvPr id="13" name="image162.png">
          <a:extLst>
            <a:ext uri="{FF2B5EF4-FFF2-40B4-BE49-F238E27FC236}">
              <a16:creationId xmlns:a16="http://schemas.microsoft.com/office/drawing/2014/main" id="{F40B76AC-358C-4133-8B88-92C1B0DB0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lum/>
          <a:alphaModFix/>
        </a:blip>
        <a:srcRect/>
        <a:stretch>
          <a:fillRect/>
        </a:stretch>
      </xdr:blipFill>
      <xdr:spPr>
        <a:xfrm>
          <a:off x="0" y="59150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29</xdr:row>
      <xdr:rowOff>0</xdr:rowOff>
    </xdr:from>
    <xdr:ext cx="332994" cy="218821"/>
    <xdr:pic>
      <xdr:nvPicPr>
        <xdr:cNvPr id="14" name="image167.png">
          <a:extLst>
            <a:ext uri="{FF2B5EF4-FFF2-40B4-BE49-F238E27FC236}">
              <a16:creationId xmlns:a16="http://schemas.microsoft.com/office/drawing/2014/main" id="{06FD6A76-B219-4025-89B3-C9C4F54D1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lum/>
          <a:alphaModFix/>
        </a:blip>
        <a:srcRect/>
        <a:stretch>
          <a:fillRect/>
        </a:stretch>
      </xdr:blipFill>
      <xdr:spPr>
        <a:xfrm>
          <a:off x="0" y="67913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31</xdr:row>
      <xdr:rowOff>0</xdr:rowOff>
    </xdr:from>
    <xdr:ext cx="323595" cy="218821"/>
    <xdr:pic>
      <xdr:nvPicPr>
        <xdr:cNvPr id="15" name="image165.png">
          <a:extLst>
            <a:ext uri="{FF2B5EF4-FFF2-40B4-BE49-F238E27FC236}">
              <a16:creationId xmlns:a16="http://schemas.microsoft.com/office/drawing/2014/main" id="{F1B7A99D-616B-4F46-9C82-038980ACF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lum/>
          <a:alphaModFix/>
        </a:blip>
        <a:srcRect/>
        <a:stretch>
          <a:fillRect/>
        </a:stretch>
      </xdr:blipFill>
      <xdr:spPr>
        <a:xfrm>
          <a:off x="0" y="72294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33</xdr:row>
      <xdr:rowOff>0</xdr:rowOff>
    </xdr:from>
    <xdr:ext cx="332994" cy="218821"/>
    <xdr:pic>
      <xdr:nvPicPr>
        <xdr:cNvPr id="16" name="image161.png">
          <a:extLst>
            <a:ext uri="{FF2B5EF4-FFF2-40B4-BE49-F238E27FC236}">
              <a16:creationId xmlns:a16="http://schemas.microsoft.com/office/drawing/2014/main" id="{D4EFCD3F-8EAA-43C0-93AF-5F131EC9B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lum/>
          <a:alphaModFix/>
        </a:blip>
        <a:srcRect/>
        <a:stretch>
          <a:fillRect/>
        </a:stretch>
      </xdr:blipFill>
      <xdr:spPr>
        <a:xfrm>
          <a:off x="0" y="76676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35</xdr:row>
      <xdr:rowOff>0</xdr:rowOff>
    </xdr:from>
    <xdr:ext cx="323595" cy="218821"/>
    <xdr:pic>
      <xdr:nvPicPr>
        <xdr:cNvPr id="17" name="image174.png">
          <a:extLst>
            <a:ext uri="{FF2B5EF4-FFF2-40B4-BE49-F238E27FC236}">
              <a16:creationId xmlns:a16="http://schemas.microsoft.com/office/drawing/2014/main" id="{5881CAD9-D6F4-4D3C-B2DC-E00E9723F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lum/>
          <a:alphaModFix/>
        </a:blip>
        <a:srcRect/>
        <a:stretch>
          <a:fillRect/>
        </a:stretch>
      </xdr:blipFill>
      <xdr:spPr>
        <a:xfrm>
          <a:off x="0" y="85439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37</xdr:row>
      <xdr:rowOff>0</xdr:rowOff>
    </xdr:from>
    <xdr:ext cx="332994" cy="218821"/>
    <xdr:pic>
      <xdr:nvPicPr>
        <xdr:cNvPr id="18" name="image164.png">
          <a:extLst>
            <a:ext uri="{FF2B5EF4-FFF2-40B4-BE49-F238E27FC236}">
              <a16:creationId xmlns:a16="http://schemas.microsoft.com/office/drawing/2014/main" id="{445A5C67-9438-4290-978A-A10FB1817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lum/>
          <a:alphaModFix/>
        </a:blip>
        <a:srcRect/>
        <a:stretch>
          <a:fillRect/>
        </a:stretch>
      </xdr:blipFill>
      <xdr:spPr>
        <a:xfrm>
          <a:off x="0" y="89820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39</xdr:row>
      <xdr:rowOff>0</xdr:rowOff>
    </xdr:from>
    <xdr:ext cx="332994" cy="218821"/>
    <xdr:pic>
      <xdr:nvPicPr>
        <xdr:cNvPr id="19" name="image166.png">
          <a:extLst>
            <a:ext uri="{FF2B5EF4-FFF2-40B4-BE49-F238E27FC236}">
              <a16:creationId xmlns:a16="http://schemas.microsoft.com/office/drawing/2014/main" id="{9E418C5B-BDA4-4F06-B38A-3FF24BA91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lum/>
          <a:alphaModFix/>
        </a:blip>
        <a:srcRect/>
        <a:stretch>
          <a:fillRect/>
        </a:stretch>
      </xdr:blipFill>
      <xdr:spPr>
        <a:xfrm>
          <a:off x="0" y="94202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41</xdr:row>
      <xdr:rowOff>0</xdr:rowOff>
    </xdr:from>
    <xdr:ext cx="332994" cy="218821"/>
    <xdr:pic>
      <xdr:nvPicPr>
        <xdr:cNvPr id="20" name="image163.png">
          <a:extLst>
            <a:ext uri="{FF2B5EF4-FFF2-40B4-BE49-F238E27FC236}">
              <a16:creationId xmlns:a16="http://schemas.microsoft.com/office/drawing/2014/main" id="{504F75AC-7057-4E46-A772-5F7D5D15D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lum/>
          <a:alphaModFix/>
        </a:blip>
        <a:srcRect/>
        <a:stretch>
          <a:fillRect/>
        </a:stretch>
      </xdr:blipFill>
      <xdr:spPr>
        <a:xfrm>
          <a:off x="0" y="98583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43</xdr:row>
      <xdr:rowOff>0</xdr:rowOff>
    </xdr:from>
    <xdr:ext cx="332994" cy="218821"/>
    <xdr:pic>
      <xdr:nvPicPr>
        <xdr:cNvPr id="21" name="image171.png">
          <a:extLst>
            <a:ext uri="{FF2B5EF4-FFF2-40B4-BE49-F238E27FC236}">
              <a16:creationId xmlns:a16="http://schemas.microsoft.com/office/drawing/2014/main" id="{233B17F7-D8A2-4C09-BFB1-B6FE8C6E3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lum/>
          <a:alphaModFix/>
        </a:blip>
        <a:srcRect/>
        <a:stretch>
          <a:fillRect/>
        </a:stretch>
      </xdr:blipFill>
      <xdr:spPr>
        <a:xfrm>
          <a:off x="0" y="102965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45</xdr:row>
      <xdr:rowOff>0</xdr:rowOff>
    </xdr:from>
    <xdr:ext cx="332994" cy="218821"/>
    <xdr:pic>
      <xdr:nvPicPr>
        <xdr:cNvPr id="22" name="image170.png">
          <a:extLst>
            <a:ext uri="{FF2B5EF4-FFF2-40B4-BE49-F238E27FC236}">
              <a16:creationId xmlns:a16="http://schemas.microsoft.com/office/drawing/2014/main" id="{FBBD3EA2-9B95-466D-A1EF-468BB1D1E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lum/>
          <a:alphaModFix/>
        </a:blip>
        <a:srcRect/>
        <a:stretch>
          <a:fillRect/>
        </a:stretch>
      </xdr:blipFill>
      <xdr:spPr>
        <a:xfrm>
          <a:off x="0" y="111728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47</xdr:row>
      <xdr:rowOff>0</xdr:rowOff>
    </xdr:from>
    <xdr:ext cx="332994" cy="218821"/>
    <xdr:pic>
      <xdr:nvPicPr>
        <xdr:cNvPr id="23" name="image168.png">
          <a:extLst>
            <a:ext uri="{FF2B5EF4-FFF2-40B4-BE49-F238E27FC236}">
              <a16:creationId xmlns:a16="http://schemas.microsoft.com/office/drawing/2014/main" id="{82EB140C-CEBE-4DC9-8FD0-A8A483022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lum/>
          <a:alphaModFix/>
        </a:blip>
        <a:srcRect/>
        <a:stretch>
          <a:fillRect/>
        </a:stretch>
      </xdr:blipFill>
      <xdr:spPr>
        <a:xfrm>
          <a:off x="0" y="116109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49</xdr:row>
      <xdr:rowOff>0</xdr:rowOff>
    </xdr:from>
    <xdr:ext cx="323595" cy="218821"/>
    <xdr:pic>
      <xdr:nvPicPr>
        <xdr:cNvPr id="24" name="image169.png">
          <a:extLst>
            <a:ext uri="{FF2B5EF4-FFF2-40B4-BE49-F238E27FC236}">
              <a16:creationId xmlns:a16="http://schemas.microsoft.com/office/drawing/2014/main" id="{C6BCACB2-285A-4155-88DB-EA6F3070F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lum/>
          <a:alphaModFix/>
        </a:blip>
        <a:srcRect/>
        <a:stretch>
          <a:fillRect/>
        </a:stretch>
      </xdr:blipFill>
      <xdr:spPr>
        <a:xfrm>
          <a:off x="0" y="120491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51</xdr:row>
      <xdr:rowOff>0</xdr:rowOff>
    </xdr:from>
    <xdr:ext cx="323595" cy="218821"/>
    <xdr:pic>
      <xdr:nvPicPr>
        <xdr:cNvPr id="25" name="image172.png">
          <a:extLst>
            <a:ext uri="{FF2B5EF4-FFF2-40B4-BE49-F238E27FC236}">
              <a16:creationId xmlns:a16="http://schemas.microsoft.com/office/drawing/2014/main" id="{CDCE97C5-98AE-4EB8-872B-63DA800D3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lum/>
          <a:alphaModFix/>
        </a:blip>
        <a:srcRect/>
        <a:stretch>
          <a:fillRect/>
        </a:stretch>
      </xdr:blipFill>
      <xdr:spPr>
        <a:xfrm>
          <a:off x="0" y="124872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53</xdr:row>
      <xdr:rowOff>0</xdr:rowOff>
    </xdr:from>
    <xdr:ext cx="323595" cy="218821"/>
    <xdr:pic>
      <xdr:nvPicPr>
        <xdr:cNvPr id="26" name="image173.png">
          <a:extLst>
            <a:ext uri="{FF2B5EF4-FFF2-40B4-BE49-F238E27FC236}">
              <a16:creationId xmlns:a16="http://schemas.microsoft.com/office/drawing/2014/main" id="{95F84499-114D-4DC9-A8A6-D86318D6D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lum/>
          <a:alphaModFix/>
        </a:blip>
        <a:srcRect/>
        <a:stretch>
          <a:fillRect/>
        </a:stretch>
      </xdr:blipFill>
      <xdr:spPr>
        <a:xfrm>
          <a:off x="0" y="129254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55</xdr:row>
      <xdr:rowOff>0</xdr:rowOff>
    </xdr:from>
    <xdr:ext cx="332994" cy="218821"/>
    <xdr:pic>
      <xdr:nvPicPr>
        <xdr:cNvPr id="27" name="image188.png">
          <a:extLst>
            <a:ext uri="{FF2B5EF4-FFF2-40B4-BE49-F238E27FC236}">
              <a16:creationId xmlns:a16="http://schemas.microsoft.com/office/drawing/2014/main" id="{A6237417-6470-47FD-A350-F1BB03BDA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lum/>
          <a:alphaModFix/>
        </a:blip>
        <a:srcRect/>
        <a:stretch>
          <a:fillRect/>
        </a:stretch>
      </xdr:blipFill>
      <xdr:spPr>
        <a:xfrm>
          <a:off x="0" y="133635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57</xdr:row>
      <xdr:rowOff>0</xdr:rowOff>
    </xdr:from>
    <xdr:ext cx="332994" cy="218821"/>
    <xdr:pic>
      <xdr:nvPicPr>
        <xdr:cNvPr id="28" name="image175.png">
          <a:extLst>
            <a:ext uri="{FF2B5EF4-FFF2-40B4-BE49-F238E27FC236}">
              <a16:creationId xmlns:a16="http://schemas.microsoft.com/office/drawing/2014/main" id="{D8598F91-57B5-4A89-822D-AAE2BC20B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lum/>
          <a:alphaModFix/>
        </a:blip>
        <a:srcRect/>
        <a:stretch>
          <a:fillRect/>
        </a:stretch>
      </xdr:blipFill>
      <xdr:spPr>
        <a:xfrm>
          <a:off x="0" y="138017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59</xdr:row>
      <xdr:rowOff>0</xdr:rowOff>
    </xdr:from>
    <xdr:ext cx="332994" cy="218821"/>
    <xdr:pic>
      <xdr:nvPicPr>
        <xdr:cNvPr id="29" name="image180.png">
          <a:extLst>
            <a:ext uri="{FF2B5EF4-FFF2-40B4-BE49-F238E27FC236}">
              <a16:creationId xmlns:a16="http://schemas.microsoft.com/office/drawing/2014/main" id="{7AD58B7E-207F-4584-9324-29DFEF026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lum/>
          <a:alphaModFix/>
        </a:blip>
        <a:srcRect/>
        <a:stretch>
          <a:fillRect/>
        </a:stretch>
      </xdr:blipFill>
      <xdr:spPr>
        <a:xfrm>
          <a:off x="0" y="142398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61</xdr:row>
      <xdr:rowOff>0</xdr:rowOff>
    </xdr:from>
    <xdr:ext cx="323595" cy="218821"/>
    <xdr:pic>
      <xdr:nvPicPr>
        <xdr:cNvPr id="30" name="image178.png">
          <a:extLst>
            <a:ext uri="{FF2B5EF4-FFF2-40B4-BE49-F238E27FC236}">
              <a16:creationId xmlns:a16="http://schemas.microsoft.com/office/drawing/2014/main" id="{503A3937-C8F5-4D95-991D-497EB42E6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lum/>
          <a:alphaModFix/>
        </a:blip>
        <a:srcRect/>
        <a:stretch>
          <a:fillRect/>
        </a:stretch>
      </xdr:blipFill>
      <xdr:spPr>
        <a:xfrm>
          <a:off x="0" y="146780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63</xdr:row>
      <xdr:rowOff>0</xdr:rowOff>
    </xdr:from>
    <xdr:ext cx="323595" cy="218821"/>
    <xdr:pic>
      <xdr:nvPicPr>
        <xdr:cNvPr id="31" name="image181.png">
          <a:extLst>
            <a:ext uri="{FF2B5EF4-FFF2-40B4-BE49-F238E27FC236}">
              <a16:creationId xmlns:a16="http://schemas.microsoft.com/office/drawing/2014/main" id="{4353D212-21A4-4136-8BB1-8CCEAD2F9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lum/>
          <a:alphaModFix/>
        </a:blip>
        <a:srcRect/>
        <a:stretch>
          <a:fillRect/>
        </a:stretch>
      </xdr:blipFill>
      <xdr:spPr>
        <a:xfrm>
          <a:off x="0" y="151161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65</xdr:row>
      <xdr:rowOff>0</xdr:rowOff>
    </xdr:from>
    <xdr:ext cx="332994" cy="218821"/>
    <xdr:pic>
      <xdr:nvPicPr>
        <xdr:cNvPr id="32" name="image176.png">
          <a:extLst>
            <a:ext uri="{FF2B5EF4-FFF2-40B4-BE49-F238E27FC236}">
              <a16:creationId xmlns:a16="http://schemas.microsoft.com/office/drawing/2014/main" id="{2CAFC664-0B4E-43EC-BAA7-F7D48D1D6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lum/>
          <a:alphaModFix/>
        </a:blip>
        <a:srcRect/>
        <a:stretch>
          <a:fillRect/>
        </a:stretch>
      </xdr:blipFill>
      <xdr:spPr>
        <a:xfrm>
          <a:off x="0" y="155543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67</xdr:row>
      <xdr:rowOff>0</xdr:rowOff>
    </xdr:from>
    <xdr:ext cx="323595" cy="218821"/>
    <xdr:pic>
      <xdr:nvPicPr>
        <xdr:cNvPr id="33" name="image179.png">
          <a:extLst>
            <a:ext uri="{FF2B5EF4-FFF2-40B4-BE49-F238E27FC236}">
              <a16:creationId xmlns:a16="http://schemas.microsoft.com/office/drawing/2014/main" id="{A6F89010-C49E-41EE-9EEE-5666A1E86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lum/>
          <a:alphaModFix/>
        </a:blip>
        <a:srcRect/>
        <a:stretch>
          <a:fillRect/>
        </a:stretch>
      </xdr:blipFill>
      <xdr:spPr>
        <a:xfrm>
          <a:off x="0" y="159924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69</xdr:row>
      <xdr:rowOff>0</xdr:rowOff>
    </xdr:from>
    <xdr:ext cx="323595" cy="218821"/>
    <xdr:pic>
      <xdr:nvPicPr>
        <xdr:cNvPr id="34" name="image177.png">
          <a:extLst>
            <a:ext uri="{FF2B5EF4-FFF2-40B4-BE49-F238E27FC236}">
              <a16:creationId xmlns:a16="http://schemas.microsoft.com/office/drawing/2014/main" id="{47E51615-119B-431F-B99D-C1263B03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lum/>
          <a:alphaModFix/>
        </a:blip>
        <a:srcRect/>
        <a:stretch>
          <a:fillRect/>
        </a:stretch>
      </xdr:blipFill>
      <xdr:spPr>
        <a:xfrm>
          <a:off x="0" y="164306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71</xdr:row>
      <xdr:rowOff>0</xdr:rowOff>
    </xdr:from>
    <xdr:ext cx="323595" cy="218821"/>
    <xdr:pic>
      <xdr:nvPicPr>
        <xdr:cNvPr id="35" name="image182.png">
          <a:extLst>
            <a:ext uri="{FF2B5EF4-FFF2-40B4-BE49-F238E27FC236}">
              <a16:creationId xmlns:a16="http://schemas.microsoft.com/office/drawing/2014/main" id="{2FD05AEC-071D-4225-9E73-8A950AF81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lum/>
          <a:alphaModFix/>
        </a:blip>
        <a:srcRect/>
        <a:stretch>
          <a:fillRect/>
        </a:stretch>
      </xdr:blipFill>
      <xdr:spPr>
        <a:xfrm>
          <a:off x="0" y="168687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73</xdr:row>
      <xdr:rowOff>0</xdr:rowOff>
    </xdr:from>
    <xdr:ext cx="323595" cy="218821"/>
    <xdr:pic>
      <xdr:nvPicPr>
        <xdr:cNvPr id="36" name="image183.png">
          <a:extLst>
            <a:ext uri="{FF2B5EF4-FFF2-40B4-BE49-F238E27FC236}">
              <a16:creationId xmlns:a16="http://schemas.microsoft.com/office/drawing/2014/main" id="{683F6C84-350B-4D69-AD8A-D5B3B024C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lum/>
          <a:alphaModFix/>
        </a:blip>
        <a:srcRect/>
        <a:stretch>
          <a:fillRect/>
        </a:stretch>
      </xdr:blipFill>
      <xdr:spPr>
        <a:xfrm>
          <a:off x="0" y="173069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75</xdr:row>
      <xdr:rowOff>0</xdr:rowOff>
    </xdr:from>
    <xdr:ext cx="332994" cy="218821"/>
    <xdr:pic>
      <xdr:nvPicPr>
        <xdr:cNvPr id="37" name="image186.png">
          <a:extLst>
            <a:ext uri="{FF2B5EF4-FFF2-40B4-BE49-F238E27FC236}">
              <a16:creationId xmlns:a16="http://schemas.microsoft.com/office/drawing/2014/main" id="{EFAC2792-59AA-4EE8-BFEA-AC03B196E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lum/>
          <a:alphaModFix/>
        </a:blip>
        <a:srcRect/>
        <a:stretch>
          <a:fillRect/>
        </a:stretch>
      </xdr:blipFill>
      <xdr:spPr>
        <a:xfrm>
          <a:off x="0" y="177450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77</xdr:row>
      <xdr:rowOff>0</xdr:rowOff>
    </xdr:from>
    <xdr:ext cx="332994" cy="218821"/>
    <xdr:pic>
      <xdr:nvPicPr>
        <xdr:cNvPr id="38" name="image184.png">
          <a:extLst>
            <a:ext uri="{FF2B5EF4-FFF2-40B4-BE49-F238E27FC236}">
              <a16:creationId xmlns:a16="http://schemas.microsoft.com/office/drawing/2014/main" id="{F0C49652-70DE-4DD1-9A04-6A7B52F7C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lum/>
          <a:alphaModFix/>
        </a:blip>
        <a:srcRect/>
        <a:stretch>
          <a:fillRect/>
        </a:stretch>
      </xdr:blipFill>
      <xdr:spPr>
        <a:xfrm>
          <a:off x="0" y="181832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79</xdr:row>
      <xdr:rowOff>0</xdr:rowOff>
    </xdr:from>
    <xdr:ext cx="323595" cy="218821"/>
    <xdr:pic>
      <xdr:nvPicPr>
        <xdr:cNvPr id="39" name="image187.png">
          <a:extLst>
            <a:ext uri="{FF2B5EF4-FFF2-40B4-BE49-F238E27FC236}">
              <a16:creationId xmlns:a16="http://schemas.microsoft.com/office/drawing/2014/main" id="{3411765E-DE76-46CD-816C-4642B1C07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lum/>
          <a:alphaModFix/>
        </a:blip>
        <a:srcRect/>
        <a:stretch>
          <a:fillRect/>
        </a:stretch>
      </xdr:blipFill>
      <xdr:spPr>
        <a:xfrm>
          <a:off x="0" y="186213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81</xdr:row>
      <xdr:rowOff>0</xdr:rowOff>
    </xdr:from>
    <xdr:ext cx="323595" cy="218821"/>
    <xdr:pic>
      <xdr:nvPicPr>
        <xdr:cNvPr id="40" name="image185.png">
          <a:extLst>
            <a:ext uri="{FF2B5EF4-FFF2-40B4-BE49-F238E27FC236}">
              <a16:creationId xmlns:a16="http://schemas.microsoft.com/office/drawing/2014/main" id="{55614D22-57E3-44FA-AA35-06C13EEE5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lum/>
          <a:alphaModFix/>
        </a:blip>
        <a:srcRect/>
        <a:stretch>
          <a:fillRect/>
        </a:stretch>
      </xdr:blipFill>
      <xdr:spPr>
        <a:xfrm>
          <a:off x="0" y="190595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83</xdr:row>
      <xdr:rowOff>0</xdr:rowOff>
    </xdr:from>
    <xdr:ext cx="323595" cy="218821"/>
    <xdr:pic>
      <xdr:nvPicPr>
        <xdr:cNvPr id="41" name="image189.png">
          <a:extLst>
            <a:ext uri="{FF2B5EF4-FFF2-40B4-BE49-F238E27FC236}">
              <a16:creationId xmlns:a16="http://schemas.microsoft.com/office/drawing/2014/main" id="{0424F509-89DC-41CF-B13F-18FF5CA66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lum/>
          <a:alphaModFix/>
        </a:blip>
        <a:srcRect/>
        <a:stretch>
          <a:fillRect/>
        </a:stretch>
      </xdr:blipFill>
      <xdr:spPr>
        <a:xfrm>
          <a:off x="0" y="194976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85</xdr:row>
      <xdr:rowOff>0</xdr:rowOff>
    </xdr:from>
    <xdr:ext cx="332994" cy="218821"/>
    <xdr:pic>
      <xdr:nvPicPr>
        <xdr:cNvPr id="42" name="image192.png">
          <a:extLst>
            <a:ext uri="{FF2B5EF4-FFF2-40B4-BE49-F238E27FC236}">
              <a16:creationId xmlns:a16="http://schemas.microsoft.com/office/drawing/2014/main" id="{E496EBE0-7137-4CF8-9BA8-90D41EF1D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lum/>
          <a:alphaModFix/>
        </a:blip>
        <a:srcRect/>
        <a:stretch>
          <a:fillRect/>
        </a:stretch>
      </xdr:blipFill>
      <xdr:spPr>
        <a:xfrm>
          <a:off x="0" y="199358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87</xdr:row>
      <xdr:rowOff>0</xdr:rowOff>
    </xdr:from>
    <xdr:ext cx="332994" cy="218821"/>
    <xdr:pic>
      <xdr:nvPicPr>
        <xdr:cNvPr id="43" name="image190.png">
          <a:extLst>
            <a:ext uri="{FF2B5EF4-FFF2-40B4-BE49-F238E27FC236}">
              <a16:creationId xmlns:a16="http://schemas.microsoft.com/office/drawing/2014/main" id="{0036A01D-7647-4E76-B7A7-146571A5E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lum/>
          <a:alphaModFix/>
        </a:blip>
        <a:srcRect/>
        <a:stretch>
          <a:fillRect/>
        </a:stretch>
      </xdr:blipFill>
      <xdr:spPr>
        <a:xfrm>
          <a:off x="0" y="203739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89</xdr:row>
      <xdr:rowOff>0</xdr:rowOff>
    </xdr:from>
    <xdr:ext cx="332994" cy="218821"/>
    <xdr:pic>
      <xdr:nvPicPr>
        <xdr:cNvPr id="44" name="image194.png">
          <a:extLst>
            <a:ext uri="{FF2B5EF4-FFF2-40B4-BE49-F238E27FC236}">
              <a16:creationId xmlns:a16="http://schemas.microsoft.com/office/drawing/2014/main" id="{83FC9D71-4A8D-40CB-8268-30CC71157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lum/>
          <a:alphaModFix/>
        </a:blip>
        <a:srcRect/>
        <a:stretch>
          <a:fillRect/>
        </a:stretch>
      </xdr:blipFill>
      <xdr:spPr>
        <a:xfrm>
          <a:off x="0" y="208121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91</xdr:row>
      <xdr:rowOff>0</xdr:rowOff>
    </xdr:from>
    <xdr:ext cx="332994" cy="218821"/>
    <xdr:pic>
      <xdr:nvPicPr>
        <xdr:cNvPr id="45" name="image202.png">
          <a:extLst>
            <a:ext uri="{FF2B5EF4-FFF2-40B4-BE49-F238E27FC236}">
              <a16:creationId xmlns:a16="http://schemas.microsoft.com/office/drawing/2014/main" id="{7E82599D-6730-4D27-81C2-D71229A6B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lum/>
          <a:alphaModFix/>
        </a:blip>
        <a:srcRect/>
        <a:stretch>
          <a:fillRect/>
        </a:stretch>
      </xdr:blipFill>
      <xdr:spPr>
        <a:xfrm>
          <a:off x="0" y="212502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93</xdr:row>
      <xdr:rowOff>0</xdr:rowOff>
    </xdr:from>
    <xdr:ext cx="332994" cy="218821"/>
    <xdr:pic>
      <xdr:nvPicPr>
        <xdr:cNvPr id="46" name="image191.png">
          <a:extLst>
            <a:ext uri="{FF2B5EF4-FFF2-40B4-BE49-F238E27FC236}">
              <a16:creationId xmlns:a16="http://schemas.microsoft.com/office/drawing/2014/main" id="{F37FAAB6-06F6-43F9-8229-CF52CFEAF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lum/>
          <a:alphaModFix/>
        </a:blip>
        <a:srcRect/>
        <a:stretch>
          <a:fillRect/>
        </a:stretch>
      </xdr:blipFill>
      <xdr:spPr>
        <a:xfrm>
          <a:off x="0" y="216884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95</xdr:row>
      <xdr:rowOff>0</xdr:rowOff>
    </xdr:from>
    <xdr:ext cx="332994" cy="218821"/>
    <xdr:pic>
      <xdr:nvPicPr>
        <xdr:cNvPr id="47" name="image193.png">
          <a:extLst>
            <a:ext uri="{FF2B5EF4-FFF2-40B4-BE49-F238E27FC236}">
              <a16:creationId xmlns:a16="http://schemas.microsoft.com/office/drawing/2014/main" id="{42B79D93-6628-469C-B0FD-D4DBC6242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lum/>
          <a:alphaModFix/>
        </a:blip>
        <a:srcRect/>
        <a:stretch>
          <a:fillRect/>
        </a:stretch>
      </xdr:blipFill>
      <xdr:spPr>
        <a:xfrm>
          <a:off x="0" y="221265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99</xdr:row>
      <xdr:rowOff>0</xdr:rowOff>
    </xdr:from>
    <xdr:ext cx="332994" cy="218821"/>
    <xdr:pic>
      <xdr:nvPicPr>
        <xdr:cNvPr id="48" name="image195.png">
          <a:extLst>
            <a:ext uri="{FF2B5EF4-FFF2-40B4-BE49-F238E27FC236}">
              <a16:creationId xmlns:a16="http://schemas.microsoft.com/office/drawing/2014/main" id="{CE8F676D-CBE6-4118-B768-D847457B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lum/>
          <a:alphaModFix/>
        </a:blip>
        <a:srcRect/>
        <a:stretch>
          <a:fillRect/>
        </a:stretch>
      </xdr:blipFill>
      <xdr:spPr>
        <a:xfrm>
          <a:off x="0" y="230028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103</xdr:row>
      <xdr:rowOff>0</xdr:rowOff>
    </xdr:from>
    <xdr:ext cx="332994" cy="218821"/>
    <xdr:pic>
      <xdr:nvPicPr>
        <xdr:cNvPr id="49" name="image198.png">
          <a:extLst>
            <a:ext uri="{FF2B5EF4-FFF2-40B4-BE49-F238E27FC236}">
              <a16:creationId xmlns:a16="http://schemas.microsoft.com/office/drawing/2014/main" id="{B07936FC-93CD-41A2-B899-EF40219CE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lum/>
          <a:alphaModFix/>
        </a:blip>
        <a:srcRect/>
        <a:stretch>
          <a:fillRect/>
        </a:stretch>
      </xdr:blipFill>
      <xdr:spPr>
        <a:xfrm>
          <a:off x="0" y="238791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105</xdr:row>
      <xdr:rowOff>0</xdr:rowOff>
    </xdr:from>
    <xdr:ext cx="332994" cy="218821"/>
    <xdr:pic>
      <xdr:nvPicPr>
        <xdr:cNvPr id="50" name="image197.png">
          <a:extLst>
            <a:ext uri="{FF2B5EF4-FFF2-40B4-BE49-F238E27FC236}">
              <a16:creationId xmlns:a16="http://schemas.microsoft.com/office/drawing/2014/main" id="{D70EDA32-6993-43F9-9471-6ACF8149B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lum/>
          <a:alphaModFix/>
        </a:blip>
        <a:srcRect/>
        <a:stretch>
          <a:fillRect/>
        </a:stretch>
      </xdr:blipFill>
      <xdr:spPr>
        <a:xfrm>
          <a:off x="0" y="243173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107</xdr:row>
      <xdr:rowOff>0</xdr:rowOff>
    </xdr:from>
    <xdr:ext cx="332994" cy="218821"/>
    <xdr:pic>
      <xdr:nvPicPr>
        <xdr:cNvPr id="51" name="image196.png">
          <a:extLst>
            <a:ext uri="{FF2B5EF4-FFF2-40B4-BE49-F238E27FC236}">
              <a16:creationId xmlns:a16="http://schemas.microsoft.com/office/drawing/2014/main" id="{70D250CE-DDF9-4CD0-B028-F364F0FCC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lum/>
          <a:alphaModFix/>
        </a:blip>
        <a:srcRect/>
        <a:stretch>
          <a:fillRect/>
        </a:stretch>
      </xdr:blipFill>
      <xdr:spPr>
        <a:xfrm>
          <a:off x="0" y="247554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109</xdr:row>
      <xdr:rowOff>0</xdr:rowOff>
    </xdr:from>
    <xdr:ext cx="332994" cy="218821"/>
    <xdr:pic>
      <xdr:nvPicPr>
        <xdr:cNvPr id="52" name="image199.png">
          <a:extLst>
            <a:ext uri="{FF2B5EF4-FFF2-40B4-BE49-F238E27FC236}">
              <a16:creationId xmlns:a16="http://schemas.microsoft.com/office/drawing/2014/main" id="{AAFB3412-0985-4CE1-8806-112AD4ABB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lum/>
          <a:alphaModFix/>
        </a:blip>
        <a:srcRect/>
        <a:stretch>
          <a:fillRect/>
        </a:stretch>
      </xdr:blipFill>
      <xdr:spPr>
        <a:xfrm>
          <a:off x="0" y="251936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111</xdr:row>
      <xdr:rowOff>0</xdr:rowOff>
    </xdr:from>
    <xdr:ext cx="332994" cy="218821"/>
    <xdr:pic>
      <xdr:nvPicPr>
        <xdr:cNvPr id="53" name="image200.png">
          <a:extLst>
            <a:ext uri="{FF2B5EF4-FFF2-40B4-BE49-F238E27FC236}">
              <a16:creationId xmlns:a16="http://schemas.microsoft.com/office/drawing/2014/main" id="{0EEBBE35-4259-42B0-8865-E2DF18AA6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lum/>
          <a:alphaModFix/>
        </a:blip>
        <a:srcRect/>
        <a:stretch>
          <a:fillRect/>
        </a:stretch>
      </xdr:blipFill>
      <xdr:spPr>
        <a:xfrm>
          <a:off x="0" y="256317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113</xdr:row>
      <xdr:rowOff>0</xdr:rowOff>
    </xdr:from>
    <xdr:ext cx="332994" cy="218821"/>
    <xdr:pic>
      <xdr:nvPicPr>
        <xdr:cNvPr id="54" name="image201.png">
          <a:extLst>
            <a:ext uri="{FF2B5EF4-FFF2-40B4-BE49-F238E27FC236}">
              <a16:creationId xmlns:a16="http://schemas.microsoft.com/office/drawing/2014/main" id="{816CA582-5297-4F5D-A893-813928726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>
          <a:lum/>
          <a:alphaModFix/>
        </a:blip>
        <a:srcRect/>
        <a:stretch>
          <a:fillRect/>
        </a:stretch>
      </xdr:blipFill>
      <xdr:spPr>
        <a:xfrm>
          <a:off x="0" y="260699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115</xdr:row>
      <xdr:rowOff>0</xdr:rowOff>
    </xdr:from>
    <xdr:ext cx="332994" cy="218821"/>
    <xdr:pic>
      <xdr:nvPicPr>
        <xdr:cNvPr id="55" name="image204.png">
          <a:extLst>
            <a:ext uri="{FF2B5EF4-FFF2-40B4-BE49-F238E27FC236}">
              <a16:creationId xmlns:a16="http://schemas.microsoft.com/office/drawing/2014/main" id="{2F12CB95-BA11-449E-8C76-FA2AB34C8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>
          <a:lum/>
          <a:alphaModFix/>
        </a:blip>
        <a:srcRect/>
        <a:stretch>
          <a:fillRect/>
        </a:stretch>
      </xdr:blipFill>
      <xdr:spPr>
        <a:xfrm>
          <a:off x="0" y="265080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117</xdr:row>
      <xdr:rowOff>0</xdr:rowOff>
    </xdr:from>
    <xdr:ext cx="332994" cy="218821"/>
    <xdr:pic>
      <xdr:nvPicPr>
        <xdr:cNvPr id="56" name="image205.png">
          <a:extLst>
            <a:ext uri="{FF2B5EF4-FFF2-40B4-BE49-F238E27FC236}">
              <a16:creationId xmlns:a16="http://schemas.microsoft.com/office/drawing/2014/main" id="{F62DACDC-792A-40B4-B0D0-925C7AA95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lum/>
          <a:alphaModFix/>
        </a:blip>
        <a:srcRect/>
        <a:stretch>
          <a:fillRect/>
        </a:stretch>
      </xdr:blipFill>
      <xdr:spPr>
        <a:xfrm>
          <a:off x="0" y="269462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119</xdr:row>
      <xdr:rowOff>0</xdr:rowOff>
    </xdr:from>
    <xdr:ext cx="332994" cy="218821"/>
    <xdr:pic>
      <xdr:nvPicPr>
        <xdr:cNvPr id="57" name="image203.png">
          <a:extLst>
            <a:ext uri="{FF2B5EF4-FFF2-40B4-BE49-F238E27FC236}">
              <a16:creationId xmlns:a16="http://schemas.microsoft.com/office/drawing/2014/main" id="{2B1EA623-FE64-4CB1-A772-21C85C74F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>
          <a:lum/>
          <a:alphaModFix/>
        </a:blip>
        <a:srcRect/>
        <a:stretch>
          <a:fillRect/>
        </a:stretch>
      </xdr:blipFill>
      <xdr:spPr>
        <a:xfrm>
          <a:off x="0" y="273843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121</xdr:row>
      <xdr:rowOff>0</xdr:rowOff>
    </xdr:from>
    <xdr:ext cx="332994" cy="218821"/>
    <xdr:pic>
      <xdr:nvPicPr>
        <xdr:cNvPr id="58" name="image209.png">
          <a:extLst>
            <a:ext uri="{FF2B5EF4-FFF2-40B4-BE49-F238E27FC236}">
              <a16:creationId xmlns:a16="http://schemas.microsoft.com/office/drawing/2014/main" id="{F0A75800-2F6A-465E-B270-265CA481E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>
          <a:lum/>
          <a:alphaModFix/>
        </a:blip>
        <a:srcRect/>
        <a:stretch>
          <a:fillRect/>
        </a:stretch>
      </xdr:blipFill>
      <xdr:spPr>
        <a:xfrm>
          <a:off x="0" y="278225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123</xdr:row>
      <xdr:rowOff>0</xdr:rowOff>
    </xdr:from>
    <xdr:ext cx="332994" cy="218821"/>
    <xdr:pic>
      <xdr:nvPicPr>
        <xdr:cNvPr id="59" name="image208.png">
          <a:extLst>
            <a:ext uri="{FF2B5EF4-FFF2-40B4-BE49-F238E27FC236}">
              <a16:creationId xmlns:a16="http://schemas.microsoft.com/office/drawing/2014/main" id="{353A751E-A8AB-47B5-93D6-FBB32136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lum/>
          <a:alphaModFix/>
        </a:blip>
        <a:srcRect/>
        <a:stretch>
          <a:fillRect/>
        </a:stretch>
      </xdr:blipFill>
      <xdr:spPr>
        <a:xfrm>
          <a:off x="0" y="282606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125</xdr:row>
      <xdr:rowOff>0</xdr:rowOff>
    </xdr:from>
    <xdr:ext cx="323595" cy="218821"/>
    <xdr:pic>
      <xdr:nvPicPr>
        <xdr:cNvPr id="60" name="image207.png">
          <a:extLst>
            <a:ext uri="{FF2B5EF4-FFF2-40B4-BE49-F238E27FC236}">
              <a16:creationId xmlns:a16="http://schemas.microsoft.com/office/drawing/2014/main" id="{09380526-DAF2-4A5E-9D46-3D39D6506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lum/>
          <a:alphaModFix/>
        </a:blip>
        <a:srcRect/>
        <a:stretch>
          <a:fillRect/>
        </a:stretch>
      </xdr:blipFill>
      <xdr:spPr>
        <a:xfrm>
          <a:off x="0" y="286988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127</xdr:row>
      <xdr:rowOff>0</xdr:rowOff>
    </xdr:from>
    <xdr:ext cx="323595" cy="218821"/>
    <xdr:pic>
      <xdr:nvPicPr>
        <xdr:cNvPr id="61" name="image206.png">
          <a:extLst>
            <a:ext uri="{FF2B5EF4-FFF2-40B4-BE49-F238E27FC236}">
              <a16:creationId xmlns:a16="http://schemas.microsoft.com/office/drawing/2014/main" id="{67910016-8CFE-416A-978B-4113B460F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lum/>
          <a:alphaModFix/>
        </a:blip>
        <a:srcRect/>
        <a:stretch>
          <a:fillRect/>
        </a:stretch>
      </xdr:blipFill>
      <xdr:spPr>
        <a:xfrm>
          <a:off x="0" y="291369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129</xdr:row>
      <xdr:rowOff>0</xdr:rowOff>
    </xdr:from>
    <xdr:ext cx="323595" cy="218821"/>
    <xdr:pic>
      <xdr:nvPicPr>
        <xdr:cNvPr id="62" name="image213.png">
          <a:extLst>
            <a:ext uri="{FF2B5EF4-FFF2-40B4-BE49-F238E27FC236}">
              <a16:creationId xmlns:a16="http://schemas.microsoft.com/office/drawing/2014/main" id="{AED9260B-E2ED-426D-AC92-1849FAC22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lum/>
          <a:alphaModFix/>
        </a:blip>
        <a:srcRect/>
        <a:stretch>
          <a:fillRect/>
        </a:stretch>
      </xdr:blipFill>
      <xdr:spPr>
        <a:xfrm>
          <a:off x="0" y="295751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131</xdr:row>
      <xdr:rowOff>0</xdr:rowOff>
    </xdr:from>
    <xdr:ext cx="323595" cy="218821"/>
    <xdr:pic>
      <xdr:nvPicPr>
        <xdr:cNvPr id="63" name="image211.png">
          <a:extLst>
            <a:ext uri="{FF2B5EF4-FFF2-40B4-BE49-F238E27FC236}">
              <a16:creationId xmlns:a16="http://schemas.microsoft.com/office/drawing/2014/main" id="{C58D6EB4-1121-4851-B55C-3D7DCDF8F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lum/>
          <a:alphaModFix/>
        </a:blip>
        <a:srcRect/>
        <a:stretch>
          <a:fillRect/>
        </a:stretch>
      </xdr:blipFill>
      <xdr:spPr>
        <a:xfrm>
          <a:off x="0" y="300132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133</xdr:row>
      <xdr:rowOff>0</xdr:rowOff>
    </xdr:from>
    <xdr:ext cx="323595" cy="218821"/>
    <xdr:pic>
      <xdr:nvPicPr>
        <xdr:cNvPr id="64" name="image212.png">
          <a:extLst>
            <a:ext uri="{FF2B5EF4-FFF2-40B4-BE49-F238E27FC236}">
              <a16:creationId xmlns:a16="http://schemas.microsoft.com/office/drawing/2014/main" id="{0795E3B8-946B-43FF-9E58-6C50C831B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>
          <a:lum/>
          <a:alphaModFix/>
        </a:blip>
        <a:srcRect/>
        <a:stretch>
          <a:fillRect/>
        </a:stretch>
      </xdr:blipFill>
      <xdr:spPr>
        <a:xfrm>
          <a:off x="0" y="304514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135</xdr:row>
      <xdr:rowOff>0</xdr:rowOff>
    </xdr:from>
    <xdr:ext cx="332994" cy="218821"/>
    <xdr:pic>
      <xdr:nvPicPr>
        <xdr:cNvPr id="65" name="image210.png">
          <a:extLst>
            <a:ext uri="{FF2B5EF4-FFF2-40B4-BE49-F238E27FC236}">
              <a16:creationId xmlns:a16="http://schemas.microsoft.com/office/drawing/2014/main" id="{9C7A2B8C-D4E7-482E-B844-8B3522175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lum/>
          <a:alphaModFix/>
        </a:blip>
        <a:srcRect/>
        <a:stretch>
          <a:fillRect/>
        </a:stretch>
      </xdr:blipFill>
      <xdr:spPr>
        <a:xfrm>
          <a:off x="0" y="308895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137</xdr:row>
      <xdr:rowOff>0</xdr:rowOff>
    </xdr:from>
    <xdr:ext cx="332994" cy="218821"/>
    <xdr:pic>
      <xdr:nvPicPr>
        <xdr:cNvPr id="66" name="image214.png">
          <a:extLst>
            <a:ext uri="{FF2B5EF4-FFF2-40B4-BE49-F238E27FC236}">
              <a16:creationId xmlns:a16="http://schemas.microsoft.com/office/drawing/2014/main" id="{E1229DBB-8523-488B-BE72-BC8F38EFE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>
          <a:lum/>
          <a:alphaModFix/>
        </a:blip>
        <a:srcRect/>
        <a:stretch>
          <a:fillRect/>
        </a:stretch>
      </xdr:blipFill>
      <xdr:spPr>
        <a:xfrm>
          <a:off x="0" y="313277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139</xdr:row>
      <xdr:rowOff>0</xdr:rowOff>
    </xdr:from>
    <xdr:ext cx="332994" cy="218821"/>
    <xdr:pic>
      <xdr:nvPicPr>
        <xdr:cNvPr id="67" name="image215.png">
          <a:extLst>
            <a:ext uri="{FF2B5EF4-FFF2-40B4-BE49-F238E27FC236}">
              <a16:creationId xmlns:a16="http://schemas.microsoft.com/office/drawing/2014/main" id="{720BEDCD-2F55-46D4-A35B-2D325E2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lum/>
          <a:alphaModFix/>
        </a:blip>
        <a:srcRect/>
        <a:stretch>
          <a:fillRect/>
        </a:stretch>
      </xdr:blipFill>
      <xdr:spPr>
        <a:xfrm>
          <a:off x="0" y="317658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141</xdr:row>
      <xdr:rowOff>0</xdr:rowOff>
    </xdr:from>
    <xdr:ext cx="332994" cy="218821"/>
    <xdr:pic>
      <xdr:nvPicPr>
        <xdr:cNvPr id="68" name="image228.png">
          <a:extLst>
            <a:ext uri="{FF2B5EF4-FFF2-40B4-BE49-F238E27FC236}">
              <a16:creationId xmlns:a16="http://schemas.microsoft.com/office/drawing/2014/main" id="{115EFA1B-285D-4037-93E4-76A7633A6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>
          <a:lum/>
          <a:alphaModFix/>
        </a:blip>
        <a:srcRect/>
        <a:stretch>
          <a:fillRect/>
        </a:stretch>
      </xdr:blipFill>
      <xdr:spPr>
        <a:xfrm>
          <a:off x="0" y="322040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143</xdr:row>
      <xdr:rowOff>0</xdr:rowOff>
    </xdr:from>
    <xdr:ext cx="332994" cy="218821"/>
    <xdr:pic>
      <xdr:nvPicPr>
        <xdr:cNvPr id="69" name="image217.png">
          <a:extLst>
            <a:ext uri="{FF2B5EF4-FFF2-40B4-BE49-F238E27FC236}">
              <a16:creationId xmlns:a16="http://schemas.microsoft.com/office/drawing/2014/main" id="{390CE32E-1155-4A2A-B82E-7378141DC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lum/>
          <a:alphaModFix/>
        </a:blip>
        <a:srcRect/>
        <a:stretch>
          <a:fillRect/>
        </a:stretch>
      </xdr:blipFill>
      <xdr:spPr>
        <a:xfrm>
          <a:off x="0" y="326421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145</xdr:row>
      <xdr:rowOff>0</xdr:rowOff>
    </xdr:from>
    <xdr:ext cx="332994" cy="218821"/>
    <xdr:pic>
      <xdr:nvPicPr>
        <xdr:cNvPr id="70" name="image218.png">
          <a:extLst>
            <a:ext uri="{FF2B5EF4-FFF2-40B4-BE49-F238E27FC236}">
              <a16:creationId xmlns:a16="http://schemas.microsoft.com/office/drawing/2014/main" id="{C23D7960-0A54-4182-9D1B-89742F34F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lum/>
          <a:alphaModFix/>
        </a:blip>
        <a:srcRect/>
        <a:stretch>
          <a:fillRect/>
        </a:stretch>
      </xdr:blipFill>
      <xdr:spPr>
        <a:xfrm>
          <a:off x="0" y="330803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147</xdr:row>
      <xdr:rowOff>0</xdr:rowOff>
    </xdr:from>
    <xdr:ext cx="332994" cy="218821"/>
    <xdr:pic>
      <xdr:nvPicPr>
        <xdr:cNvPr id="71" name="image216.png">
          <a:extLst>
            <a:ext uri="{FF2B5EF4-FFF2-40B4-BE49-F238E27FC236}">
              <a16:creationId xmlns:a16="http://schemas.microsoft.com/office/drawing/2014/main" id="{BE4D4895-0EEC-4819-A186-400890252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>
          <a:lum/>
          <a:alphaModFix/>
        </a:blip>
        <a:srcRect/>
        <a:stretch>
          <a:fillRect/>
        </a:stretch>
      </xdr:blipFill>
      <xdr:spPr>
        <a:xfrm>
          <a:off x="0" y="335184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149</xdr:row>
      <xdr:rowOff>0</xdr:rowOff>
    </xdr:from>
    <xdr:ext cx="332994" cy="218821"/>
    <xdr:pic>
      <xdr:nvPicPr>
        <xdr:cNvPr id="72" name="image220.png">
          <a:extLst>
            <a:ext uri="{FF2B5EF4-FFF2-40B4-BE49-F238E27FC236}">
              <a16:creationId xmlns:a16="http://schemas.microsoft.com/office/drawing/2014/main" id="{2172F6C5-3B70-4B72-9445-31461A07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lum/>
          <a:alphaModFix/>
        </a:blip>
        <a:srcRect/>
        <a:stretch>
          <a:fillRect/>
        </a:stretch>
      </xdr:blipFill>
      <xdr:spPr>
        <a:xfrm>
          <a:off x="0" y="339566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151</xdr:row>
      <xdr:rowOff>0</xdr:rowOff>
    </xdr:from>
    <xdr:ext cx="323595" cy="218821"/>
    <xdr:pic>
      <xdr:nvPicPr>
        <xdr:cNvPr id="73" name="image219.png">
          <a:extLst>
            <a:ext uri="{FF2B5EF4-FFF2-40B4-BE49-F238E27FC236}">
              <a16:creationId xmlns:a16="http://schemas.microsoft.com/office/drawing/2014/main" id="{C9583BE8-D856-473D-B151-37976E044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>
          <a:lum/>
          <a:alphaModFix/>
        </a:blip>
        <a:srcRect/>
        <a:stretch>
          <a:fillRect/>
        </a:stretch>
      </xdr:blipFill>
      <xdr:spPr>
        <a:xfrm>
          <a:off x="0" y="343947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153</xdr:row>
      <xdr:rowOff>0</xdr:rowOff>
    </xdr:from>
    <xdr:ext cx="332994" cy="218821"/>
    <xdr:pic>
      <xdr:nvPicPr>
        <xdr:cNvPr id="74" name="image221.png">
          <a:extLst>
            <a:ext uri="{FF2B5EF4-FFF2-40B4-BE49-F238E27FC236}">
              <a16:creationId xmlns:a16="http://schemas.microsoft.com/office/drawing/2014/main" id="{A68585F4-4C45-479C-AC4B-0F79A67A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lum/>
          <a:alphaModFix/>
        </a:blip>
        <a:srcRect/>
        <a:stretch>
          <a:fillRect/>
        </a:stretch>
      </xdr:blipFill>
      <xdr:spPr>
        <a:xfrm>
          <a:off x="0" y="348329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32994" cy="218821"/>
    <xdr:pic>
      <xdr:nvPicPr>
        <xdr:cNvPr id="2" name="image224.png">
          <a:extLst>
            <a:ext uri="{FF2B5EF4-FFF2-40B4-BE49-F238E27FC236}">
              <a16:creationId xmlns:a16="http://schemas.microsoft.com/office/drawing/2014/main" id="{FFE43190-D3C5-4993-84AC-E73C87396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2190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</xdr:row>
      <xdr:rowOff>0</xdr:rowOff>
    </xdr:from>
    <xdr:ext cx="332994" cy="218821"/>
    <xdr:pic>
      <xdr:nvPicPr>
        <xdr:cNvPr id="3" name="image225.png">
          <a:extLst>
            <a:ext uri="{FF2B5EF4-FFF2-40B4-BE49-F238E27FC236}">
              <a16:creationId xmlns:a16="http://schemas.microsoft.com/office/drawing/2014/main" id="{B2E8A81E-1F81-4823-809B-B1DF03B1D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lum/>
          <a:alphaModFix/>
        </a:blip>
        <a:srcRect/>
        <a:stretch>
          <a:fillRect/>
        </a:stretch>
      </xdr:blipFill>
      <xdr:spPr>
        <a:xfrm>
          <a:off x="0" y="6572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</xdr:row>
      <xdr:rowOff>0</xdr:rowOff>
    </xdr:from>
    <xdr:ext cx="332994" cy="218821"/>
    <xdr:pic>
      <xdr:nvPicPr>
        <xdr:cNvPr id="4" name="image223.png">
          <a:extLst>
            <a:ext uri="{FF2B5EF4-FFF2-40B4-BE49-F238E27FC236}">
              <a16:creationId xmlns:a16="http://schemas.microsoft.com/office/drawing/2014/main" id="{F2B6CB28-967F-46C7-BF7E-E1EFC1FDF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lum/>
          <a:alphaModFix/>
        </a:blip>
        <a:srcRect/>
        <a:stretch>
          <a:fillRect/>
        </a:stretch>
      </xdr:blipFill>
      <xdr:spPr>
        <a:xfrm>
          <a:off x="0" y="10953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</xdr:row>
      <xdr:rowOff>0</xdr:rowOff>
    </xdr:from>
    <xdr:ext cx="323595" cy="218821"/>
    <xdr:pic>
      <xdr:nvPicPr>
        <xdr:cNvPr id="5" name="image226.png">
          <a:extLst>
            <a:ext uri="{FF2B5EF4-FFF2-40B4-BE49-F238E27FC236}">
              <a16:creationId xmlns:a16="http://schemas.microsoft.com/office/drawing/2014/main" id="{7038674C-7A78-45D6-8570-C83C9C79D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lum/>
          <a:alphaModFix/>
        </a:blip>
        <a:srcRect/>
        <a:stretch>
          <a:fillRect/>
        </a:stretch>
      </xdr:blipFill>
      <xdr:spPr>
        <a:xfrm>
          <a:off x="0" y="15335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11</xdr:row>
      <xdr:rowOff>0</xdr:rowOff>
    </xdr:from>
    <xdr:ext cx="332994" cy="218821"/>
    <xdr:pic>
      <xdr:nvPicPr>
        <xdr:cNvPr id="6" name="image222.png">
          <a:extLst>
            <a:ext uri="{FF2B5EF4-FFF2-40B4-BE49-F238E27FC236}">
              <a16:creationId xmlns:a16="http://schemas.microsoft.com/office/drawing/2014/main" id="{87B818FC-60D4-4CA4-965D-75949DC82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lum/>
          <a:alphaModFix/>
        </a:blip>
        <a:srcRect/>
        <a:stretch>
          <a:fillRect/>
        </a:stretch>
      </xdr:blipFill>
      <xdr:spPr>
        <a:xfrm>
          <a:off x="0" y="24098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15</xdr:row>
      <xdr:rowOff>0</xdr:rowOff>
    </xdr:from>
    <xdr:ext cx="332994" cy="218821"/>
    <xdr:pic>
      <xdr:nvPicPr>
        <xdr:cNvPr id="7" name="image227.png">
          <a:extLst>
            <a:ext uri="{FF2B5EF4-FFF2-40B4-BE49-F238E27FC236}">
              <a16:creationId xmlns:a16="http://schemas.microsoft.com/office/drawing/2014/main" id="{4A3BCEEC-BB30-4BCA-9021-C61BB5DF2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lum/>
          <a:alphaModFix/>
        </a:blip>
        <a:srcRect/>
        <a:stretch>
          <a:fillRect/>
        </a:stretch>
      </xdr:blipFill>
      <xdr:spPr>
        <a:xfrm>
          <a:off x="0" y="32861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17</xdr:row>
      <xdr:rowOff>0</xdr:rowOff>
    </xdr:from>
    <xdr:ext cx="332994" cy="218821"/>
    <xdr:pic>
      <xdr:nvPicPr>
        <xdr:cNvPr id="8" name="image237.png">
          <a:extLst>
            <a:ext uri="{FF2B5EF4-FFF2-40B4-BE49-F238E27FC236}">
              <a16:creationId xmlns:a16="http://schemas.microsoft.com/office/drawing/2014/main" id="{CA9B0E35-AAAF-4E0A-A965-F512E4D4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lum/>
          <a:alphaModFix/>
        </a:blip>
        <a:srcRect/>
        <a:stretch>
          <a:fillRect/>
        </a:stretch>
      </xdr:blipFill>
      <xdr:spPr>
        <a:xfrm>
          <a:off x="0" y="37242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19</xdr:row>
      <xdr:rowOff>0</xdr:rowOff>
    </xdr:from>
    <xdr:ext cx="332994" cy="218821"/>
    <xdr:pic>
      <xdr:nvPicPr>
        <xdr:cNvPr id="9" name="image232.png">
          <a:extLst>
            <a:ext uri="{FF2B5EF4-FFF2-40B4-BE49-F238E27FC236}">
              <a16:creationId xmlns:a16="http://schemas.microsoft.com/office/drawing/2014/main" id="{64A9AD9E-36F6-44BF-ABCC-6E7796931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lum/>
          <a:alphaModFix/>
        </a:blip>
        <a:srcRect/>
        <a:stretch>
          <a:fillRect/>
        </a:stretch>
      </xdr:blipFill>
      <xdr:spPr>
        <a:xfrm>
          <a:off x="0" y="41624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21</xdr:row>
      <xdr:rowOff>0</xdr:rowOff>
    </xdr:from>
    <xdr:ext cx="323595" cy="218821"/>
    <xdr:pic>
      <xdr:nvPicPr>
        <xdr:cNvPr id="10" name="image231.png">
          <a:extLst>
            <a:ext uri="{FF2B5EF4-FFF2-40B4-BE49-F238E27FC236}">
              <a16:creationId xmlns:a16="http://schemas.microsoft.com/office/drawing/2014/main" id="{6526A0A6-6AFC-48C6-998D-FBB8FAD7A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lum/>
          <a:alphaModFix/>
        </a:blip>
        <a:srcRect/>
        <a:stretch>
          <a:fillRect/>
        </a:stretch>
      </xdr:blipFill>
      <xdr:spPr>
        <a:xfrm>
          <a:off x="0" y="46005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23</xdr:row>
      <xdr:rowOff>0</xdr:rowOff>
    </xdr:from>
    <xdr:ext cx="323595" cy="218821"/>
    <xdr:pic>
      <xdr:nvPicPr>
        <xdr:cNvPr id="11" name="image236.png">
          <a:extLst>
            <a:ext uri="{FF2B5EF4-FFF2-40B4-BE49-F238E27FC236}">
              <a16:creationId xmlns:a16="http://schemas.microsoft.com/office/drawing/2014/main" id="{58F144D9-957D-4CE8-A420-EC7C0E88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lum/>
          <a:alphaModFix/>
        </a:blip>
        <a:srcRect/>
        <a:stretch>
          <a:fillRect/>
        </a:stretch>
      </xdr:blipFill>
      <xdr:spPr>
        <a:xfrm>
          <a:off x="0" y="50387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25</xdr:row>
      <xdr:rowOff>0</xdr:rowOff>
    </xdr:from>
    <xdr:ext cx="332994" cy="218821"/>
    <xdr:pic>
      <xdr:nvPicPr>
        <xdr:cNvPr id="12" name="image229.png">
          <a:extLst>
            <a:ext uri="{FF2B5EF4-FFF2-40B4-BE49-F238E27FC236}">
              <a16:creationId xmlns:a16="http://schemas.microsoft.com/office/drawing/2014/main" id="{5BABECDA-6776-40E9-A254-AF6FD15F4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lum/>
          <a:alphaModFix/>
        </a:blip>
        <a:srcRect/>
        <a:stretch>
          <a:fillRect/>
        </a:stretch>
      </xdr:blipFill>
      <xdr:spPr>
        <a:xfrm>
          <a:off x="0" y="54768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27</xdr:row>
      <xdr:rowOff>0</xdr:rowOff>
    </xdr:from>
    <xdr:ext cx="332994" cy="218821"/>
    <xdr:pic>
      <xdr:nvPicPr>
        <xdr:cNvPr id="13" name="image230.png">
          <a:extLst>
            <a:ext uri="{FF2B5EF4-FFF2-40B4-BE49-F238E27FC236}">
              <a16:creationId xmlns:a16="http://schemas.microsoft.com/office/drawing/2014/main" id="{9A5FF5AE-8A9F-4A2C-B535-92777834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lum/>
          <a:alphaModFix/>
        </a:blip>
        <a:srcRect/>
        <a:stretch>
          <a:fillRect/>
        </a:stretch>
      </xdr:blipFill>
      <xdr:spPr>
        <a:xfrm>
          <a:off x="0" y="59150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29</xdr:row>
      <xdr:rowOff>0</xdr:rowOff>
    </xdr:from>
    <xdr:ext cx="332994" cy="218821"/>
    <xdr:pic>
      <xdr:nvPicPr>
        <xdr:cNvPr id="14" name="image240.png">
          <a:extLst>
            <a:ext uri="{FF2B5EF4-FFF2-40B4-BE49-F238E27FC236}">
              <a16:creationId xmlns:a16="http://schemas.microsoft.com/office/drawing/2014/main" id="{6BE03B2C-285A-4AED-A1D0-4259DCB59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lum/>
          <a:alphaModFix/>
        </a:blip>
        <a:srcRect/>
        <a:stretch>
          <a:fillRect/>
        </a:stretch>
      </xdr:blipFill>
      <xdr:spPr>
        <a:xfrm>
          <a:off x="0" y="63531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31</xdr:row>
      <xdr:rowOff>0</xdr:rowOff>
    </xdr:from>
    <xdr:ext cx="332994" cy="218821"/>
    <xdr:pic>
      <xdr:nvPicPr>
        <xdr:cNvPr id="15" name="image234.png">
          <a:extLst>
            <a:ext uri="{FF2B5EF4-FFF2-40B4-BE49-F238E27FC236}">
              <a16:creationId xmlns:a16="http://schemas.microsoft.com/office/drawing/2014/main" id="{473AEA2B-4C5F-429F-AB1C-70B9E61C6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lum/>
          <a:alphaModFix/>
        </a:blip>
        <a:srcRect/>
        <a:stretch>
          <a:fillRect/>
        </a:stretch>
      </xdr:blipFill>
      <xdr:spPr>
        <a:xfrm>
          <a:off x="0" y="67913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33</xdr:row>
      <xdr:rowOff>0</xdr:rowOff>
    </xdr:from>
    <xdr:ext cx="332994" cy="218821"/>
    <xdr:pic>
      <xdr:nvPicPr>
        <xdr:cNvPr id="16" name="image233.png">
          <a:extLst>
            <a:ext uri="{FF2B5EF4-FFF2-40B4-BE49-F238E27FC236}">
              <a16:creationId xmlns:a16="http://schemas.microsoft.com/office/drawing/2014/main" id="{373946D8-2000-45CB-B183-A4C92FADA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lum/>
          <a:alphaModFix/>
        </a:blip>
        <a:srcRect/>
        <a:stretch>
          <a:fillRect/>
        </a:stretch>
      </xdr:blipFill>
      <xdr:spPr>
        <a:xfrm>
          <a:off x="0" y="72294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35</xdr:row>
      <xdr:rowOff>0</xdr:rowOff>
    </xdr:from>
    <xdr:ext cx="332994" cy="218821"/>
    <xdr:pic>
      <xdr:nvPicPr>
        <xdr:cNvPr id="17" name="image235.png">
          <a:extLst>
            <a:ext uri="{FF2B5EF4-FFF2-40B4-BE49-F238E27FC236}">
              <a16:creationId xmlns:a16="http://schemas.microsoft.com/office/drawing/2014/main" id="{A9185C82-9990-48A5-95C6-615C7E841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lum/>
          <a:alphaModFix/>
        </a:blip>
        <a:srcRect/>
        <a:stretch>
          <a:fillRect/>
        </a:stretch>
      </xdr:blipFill>
      <xdr:spPr>
        <a:xfrm>
          <a:off x="0" y="76676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37</xdr:row>
      <xdr:rowOff>0</xdr:rowOff>
    </xdr:from>
    <xdr:ext cx="332994" cy="218821"/>
    <xdr:pic>
      <xdr:nvPicPr>
        <xdr:cNvPr id="18" name="image238.png">
          <a:extLst>
            <a:ext uri="{FF2B5EF4-FFF2-40B4-BE49-F238E27FC236}">
              <a16:creationId xmlns:a16="http://schemas.microsoft.com/office/drawing/2014/main" id="{012E74C7-E850-4B6B-85F5-72C5EC192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lum/>
          <a:alphaModFix/>
        </a:blip>
        <a:srcRect/>
        <a:stretch>
          <a:fillRect/>
        </a:stretch>
      </xdr:blipFill>
      <xdr:spPr>
        <a:xfrm>
          <a:off x="0" y="81057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39</xdr:row>
      <xdr:rowOff>0</xdr:rowOff>
    </xdr:from>
    <xdr:ext cx="332994" cy="218821"/>
    <xdr:pic>
      <xdr:nvPicPr>
        <xdr:cNvPr id="19" name="image241.png">
          <a:extLst>
            <a:ext uri="{FF2B5EF4-FFF2-40B4-BE49-F238E27FC236}">
              <a16:creationId xmlns:a16="http://schemas.microsoft.com/office/drawing/2014/main" id="{8387B047-011D-4108-B983-099EE089F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lum/>
          <a:alphaModFix/>
        </a:blip>
        <a:srcRect/>
        <a:stretch>
          <a:fillRect/>
        </a:stretch>
      </xdr:blipFill>
      <xdr:spPr>
        <a:xfrm>
          <a:off x="0" y="85439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41</xdr:row>
      <xdr:rowOff>0</xdr:rowOff>
    </xdr:from>
    <xdr:ext cx="332994" cy="218821"/>
    <xdr:pic>
      <xdr:nvPicPr>
        <xdr:cNvPr id="20" name="image243.png">
          <a:extLst>
            <a:ext uri="{FF2B5EF4-FFF2-40B4-BE49-F238E27FC236}">
              <a16:creationId xmlns:a16="http://schemas.microsoft.com/office/drawing/2014/main" id="{28AADC07-A36A-4927-A9CC-E3F3D74E6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lum/>
          <a:alphaModFix/>
        </a:blip>
        <a:srcRect/>
        <a:stretch>
          <a:fillRect/>
        </a:stretch>
      </xdr:blipFill>
      <xdr:spPr>
        <a:xfrm>
          <a:off x="0" y="89820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43</xdr:row>
      <xdr:rowOff>0</xdr:rowOff>
    </xdr:from>
    <xdr:ext cx="332994" cy="218821"/>
    <xdr:pic>
      <xdr:nvPicPr>
        <xdr:cNvPr id="21" name="image250.png">
          <a:extLst>
            <a:ext uri="{FF2B5EF4-FFF2-40B4-BE49-F238E27FC236}">
              <a16:creationId xmlns:a16="http://schemas.microsoft.com/office/drawing/2014/main" id="{FF6EE0EC-E0C3-495B-A711-FC173B329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lum/>
          <a:alphaModFix/>
        </a:blip>
        <a:srcRect/>
        <a:stretch>
          <a:fillRect/>
        </a:stretch>
      </xdr:blipFill>
      <xdr:spPr>
        <a:xfrm>
          <a:off x="0" y="94202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45</xdr:row>
      <xdr:rowOff>0</xdr:rowOff>
    </xdr:from>
    <xdr:ext cx="323595" cy="218821"/>
    <xdr:pic>
      <xdr:nvPicPr>
        <xdr:cNvPr id="22" name="image244.png">
          <a:extLst>
            <a:ext uri="{FF2B5EF4-FFF2-40B4-BE49-F238E27FC236}">
              <a16:creationId xmlns:a16="http://schemas.microsoft.com/office/drawing/2014/main" id="{4BD93E61-5423-4708-A326-5A6C8857C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lum/>
          <a:alphaModFix/>
        </a:blip>
        <a:srcRect/>
        <a:stretch>
          <a:fillRect/>
        </a:stretch>
      </xdr:blipFill>
      <xdr:spPr>
        <a:xfrm>
          <a:off x="0" y="98583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47</xdr:row>
      <xdr:rowOff>0</xdr:rowOff>
    </xdr:from>
    <xdr:ext cx="323595" cy="218821"/>
    <xdr:pic>
      <xdr:nvPicPr>
        <xdr:cNvPr id="23" name="image254.png">
          <a:extLst>
            <a:ext uri="{FF2B5EF4-FFF2-40B4-BE49-F238E27FC236}">
              <a16:creationId xmlns:a16="http://schemas.microsoft.com/office/drawing/2014/main" id="{6C403EAB-7907-41B8-86D6-798386A76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lum/>
          <a:alphaModFix/>
        </a:blip>
        <a:srcRect/>
        <a:stretch>
          <a:fillRect/>
        </a:stretch>
      </xdr:blipFill>
      <xdr:spPr>
        <a:xfrm>
          <a:off x="0" y="102965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49</xdr:row>
      <xdr:rowOff>0</xdr:rowOff>
    </xdr:from>
    <xdr:ext cx="332994" cy="218821"/>
    <xdr:pic>
      <xdr:nvPicPr>
        <xdr:cNvPr id="24" name="image247.png">
          <a:extLst>
            <a:ext uri="{FF2B5EF4-FFF2-40B4-BE49-F238E27FC236}">
              <a16:creationId xmlns:a16="http://schemas.microsoft.com/office/drawing/2014/main" id="{202470D3-FBD4-472D-A61E-93FA0A3E0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lum/>
          <a:alphaModFix/>
        </a:blip>
        <a:srcRect/>
        <a:stretch>
          <a:fillRect/>
        </a:stretch>
      </xdr:blipFill>
      <xdr:spPr>
        <a:xfrm>
          <a:off x="0" y="107346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57</xdr:row>
      <xdr:rowOff>0</xdr:rowOff>
    </xdr:from>
    <xdr:ext cx="332994" cy="218821"/>
    <xdr:pic>
      <xdr:nvPicPr>
        <xdr:cNvPr id="25" name="image239.png">
          <a:extLst>
            <a:ext uri="{FF2B5EF4-FFF2-40B4-BE49-F238E27FC236}">
              <a16:creationId xmlns:a16="http://schemas.microsoft.com/office/drawing/2014/main" id="{59FD7E0A-8569-4582-A49B-9EF1E2931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lum/>
          <a:alphaModFix/>
        </a:blip>
        <a:srcRect/>
        <a:stretch>
          <a:fillRect/>
        </a:stretch>
      </xdr:blipFill>
      <xdr:spPr>
        <a:xfrm>
          <a:off x="0" y="124872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63</xdr:row>
      <xdr:rowOff>0</xdr:rowOff>
    </xdr:from>
    <xdr:ext cx="332994" cy="218821"/>
    <xdr:pic>
      <xdr:nvPicPr>
        <xdr:cNvPr id="26" name="image242.png">
          <a:extLst>
            <a:ext uri="{FF2B5EF4-FFF2-40B4-BE49-F238E27FC236}">
              <a16:creationId xmlns:a16="http://schemas.microsoft.com/office/drawing/2014/main" id="{65F1CAC2-964D-4248-9F53-B35D262AB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lum/>
          <a:alphaModFix/>
        </a:blip>
        <a:srcRect/>
        <a:stretch>
          <a:fillRect/>
        </a:stretch>
      </xdr:blipFill>
      <xdr:spPr>
        <a:xfrm>
          <a:off x="0" y="138017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65</xdr:row>
      <xdr:rowOff>0</xdr:rowOff>
    </xdr:from>
    <xdr:ext cx="332994" cy="218821"/>
    <xdr:pic>
      <xdr:nvPicPr>
        <xdr:cNvPr id="27" name="image245.png">
          <a:extLst>
            <a:ext uri="{FF2B5EF4-FFF2-40B4-BE49-F238E27FC236}">
              <a16:creationId xmlns:a16="http://schemas.microsoft.com/office/drawing/2014/main" id="{208BA5BD-C623-409B-810D-FFF015DF5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lum/>
          <a:alphaModFix/>
        </a:blip>
        <a:srcRect/>
        <a:stretch>
          <a:fillRect/>
        </a:stretch>
      </xdr:blipFill>
      <xdr:spPr>
        <a:xfrm>
          <a:off x="0" y="142398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67</xdr:row>
      <xdr:rowOff>0</xdr:rowOff>
    </xdr:from>
    <xdr:ext cx="323595" cy="218821"/>
    <xdr:pic>
      <xdr:nvPicPr>
        <xdr:cNvPr id="28" name="image246.png">
          <a:extLst>
            <a:ext uri="{FF2B5EF4-FFF2-40B4-BE49-F238E27FC236}">
              <a16:creationId xmlns:a16="http://schemas.microsoft.com/office/drawing/2014/main" id="{8307CE53-7A62-4FF9-86E5-84C2A01D1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lum/>
          <a:alphaModFix/>
        </a:blip>
        <a:srcRect/>
        <a:stretch>
          <a:fillRect/>
        </a:stretch>
      </xdr:blipFill>
      <xdr:spPr>
        <a:xfrm>
          <a:off x="0" y="146780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73</xdr:row>
      <xdr:rowOff>0</xdr:rowOff>
    </xdr:from>
    <xdr:ext cx="323595" cy="218821"/>
    <xdr:pic>
      <xdr:nvPicPr>
        <xdr:cNvPr id="29" name="image249.png">
          <a:extLst>
            <a:ext uri="{FF2B5EF4-FFF2-40B4-BE49-F238E27FC236}">
              <a16:creationId xmlns:a16="http://schemas.microsoft.com/office/drawing/2014/main" id="{C2FC0429-2685-468C-BA9B-DB38E351A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lum/>
          <a:alphaModFix/>
        </a:blip>
        <a:srcRect/>
        <a:stretch>
          <a:fillRect/>
        </a:stretch>
      </xdr:blipFill>
      <xdr:spPr>
        <a:xfrm>
          <a:off x="0" y="159924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75</xdr:row>
      <xdr:rowOff>0</xdr:rowOff>
    </xdr:from>
    <xdr:ext cx="332994" cy="218821"/>
    <xdr:pic>
      <xdr:nvPicPr>
        <xdr:cNvPr id="30" name="image248.png">
          <a:extLst>
            <a:ext uri="{FF2B5EF4-FFF2-40B4-BE49-F238E27FC236}">
              <a16:creationId xmlns:a16="http://schemas.microsoft.com/office/drawing/2014/main" id="{E54D5B54-2E10-4035-A5EB-EE582189F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lum/>
          <a:alphaModFix/>
        </a:blip>
        <a:srcRect/>
        <a:stretch>
          <a:fillRect/>
        </a:stretch>
      </xdr:blipFill>
      <xdr:spPr>
        <a:xfrm>
          <a:off x="0" y="164306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77</xdr:row>
      <xdr:rowOff>0</xdr:rowOff>
    </xdr:from>
    <xdr:ext cx="332994" cy="218821"/>
    <xdr:pic>
      <xdr:nvPicPr>
        <xdr:cNvPr id="31" name="image255.png">
          <a:extLst>
            <a:ext uri="{FF2B5EF4-FFF2-40B4-BE49-F238E27FC236}">
              <a16:creationId xmlns:a16="http://schemas.microsoft.com/office/drawing/2014/main" id="{A360F433-8920-4FB5-B577-F6C7A91B2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lum/>
          <a:alphaModFix/>
        </a:blip>
        <a:srcRect/>
        <a:stretch>
          <a:fillRect/>
        </a:stretch>
      </xdr:blipFill>
      <xdr:spPr>
        <a:xfrm>
          <a:off x="0" y="168687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79</xdr:row>
      <xdr:rowOff>0</xdr:rowOff>
    </xdr:from>
    <xdr:ext cx="332994" cy="218821"/>
    <xdr:pic>
      <xdr:nvPicPr>
        <xdr:cNvPr id="32" name="image252.png">
          <a:extLst>
            <a:ext uri="{FF2B5EF4-FFF2-40B4-BE49-F238E27FC236}">
              <a16:creationId xmlns:a16="http://schemas.microsoft.com/office/drawing/2014/main" id="{2725B1EE-16F6-46D7-B4EA-5DAEA0E51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lum/>
          <a:alphaModFix/>
        </a:blip>
        <a:srcRect/>
        <a:stretch>
          <a:fillRect/>
        </a:stretch>
      </xdr:blipFill>
      <xdr:spPr>
        <a:xfrm>
          <a:off x="0" y="173069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81</xdr:row>
      <xdr:rowOff>0</xdr:rowOff>
    </xdr:from>
    <xdr:ext cx="332994" cy="218821"/>
    <xdr:pic>
      <xdr:nvPicPr>
        <xdr:cNvPr id="33" name="image253.png">
          <a:extLst>
            <a:ext uri="{FF2B5EF4-FFF2-40B4-BE49-F238E27FC236}">
              <a16:creationId xmlns:a16="http://schemas.microsoft.com/office/drawing/2014/main" id="{E32E379E-E42F-4BE0-B057-9662DB01B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lum/>
          <a:alphaModFix/>
        </a:blip>
        <a:srcRect/>
        <a:stretch>
          <a:fillRect/>
        </a:stretch>
      </xdr:blipFill>
      <xdr:spPr>
        <a:xfrm>
          <a:off x="0" y="177450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83</xdr:row>
      <xdr:rowOff>0</xdr:rowOff>
    </xdr:from>
    <xdr:ext cx="332994" cy="218821"/>
    <xdr:pic>
      <xdr:nvPicPr>
        <xdr:cNvPr id="34" name="image251.png">
          <a:extLst>
            <a:ext uri="{FF2B5EF4-FFF2-40B4-BE49-F238E27FC236}">
              <a16:creationId xmlns:a16="http://schemas.microsoft.com/office/drawing/2014/main" id="{E7D8E29E-BB97-48BF-B5C4-A0754DB38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lum/>
          <a:alphaModFix/>
        </a:blip>
        <a:srcRect/>
        <a:stretch>
          <a:fillRect/>
        </a:stretch>
      </xdr:blipFill>
      <xdr:spPr>
        <a:xfrm>
          <a:off x="0" y="181832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85</xdr:row>
      <xdr:rowOff>0</xdr:rowOff>
    </xdr:from>
    <xdr:ext cx="323595" cy="218821"/>
    <xdr:pic>
      <xdr:nvPicPr>
        <xdr:cNvPr id="35" name="image266.png">
          <a:extLst>
            <a:ext uri="{FF2B5EF4-FFF2-40B4-BE49-F238E27FC236}">
              <a16:creationId xmlns:a16="http://schemas.microsoft.com/office/drawing/2014/main" id="{AB4B9FE5-37C5-4596-AE38-8E80FF882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lum/>
          <a:alphaModFix/>
        </a:blip>
        <a:srcRect/>
        <a:stretch>
          <a:fillRect/>
        </a:stretch>
      </xdr:blipFill>
      <xdr:spPr>
        <a:xfrm>
          <a:off x="0" y="1862137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87</xdr:row>
      <xdr:rowOff>0</xdr:rowOff>
    </xdr:from>
    <xdr:ext cx="332994" cy="218821"/>
    <xdr:pic>
      <xdr:nvPicPr>
        <xdr:cNvPr id="36" name="image256.png">
          <a:extLst>
            <a:ext uri="{FF2B5EF4-FFF2-40B4-BE49-F238E27FC236}">
              <a16:creationId xmlns:a16="http://schemas.microsoft.com/office/drawing/2014/main" id="{93F0D23E-4B79-4EC6-8BA5-F4EC4EE0C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lum/>
          <a:alphaModFix/>
        </a:blip>
        <a:srcRect/>
        <a:stretch>
          <a:fillRect/>
        </a:stretch>
      </xdr:blipFill>
      <xdr:spPr>
        <a:xfrm>
          <a:off x="0" y="190595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91</xdr:row>
      <xdr:rowOff>0</xdr:rowOff>
    </xdr:from>
    <xdr:ext cx="323595" cy="218821"/>
    <xdr:pic>
      <xdr:nvPicPr>
        <xdr:cNvPr id="37" name="image267.png">
          <a:extLst>
            <a:ext uri="{FF2B5EF4-FFF2-40B4-BE49-F238E27FC236}">
              <a16:creationId xmlns:a16="http://schemas.microsoft.com/office/drawing/2014/main" id="{CEF15B11-D856-45AB-A60E-513BC7D94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lum/>
          <a:alphaModFix/>
        </a:blip>
        <a:srcRect/>
        <a:stretch>
          <a:fillRect/>
        </a:stretch>
      </xdr:blipFill>
      <xdr:spPr>
        <a:xfrm>
          <a:off x="0" y="199358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93</xdr:row>
      <xdr:rowOff>0</xdr:rowOff>
    </xdr:from>
    <xdr:ext cx="332994" cy="218821"/>
    <xdr:pic>
      <xdr:nvPicPr>
        <xdr:cNvPr id="38" name="image259.png">
          <a:extLst>
            <a:ext uri="{FF2B5EF4-FFF2-40B4-BE49-F238E27FC236}">
              <a16:creationId xmlns:a16="http://schemas.microsoft.com/office/drawing/2014/main" id="{9EE701BD-D691-457B-B2B7-EFE79A838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lum/>
          <a:alphaModFix/>
        </a:blip>
        <a:srcRect/>
        <a:stretch>
          <a:fillRect/>
        </a:stretch>
      </xdr:blipFill>
      <xdr:spPr>
        <a:xfrm>
          <a:off x="0" y="203739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95</xdr:row>
      <xdr:rowOff>0</xdr:rowOff>
    </xdr:from>
    <xdr:ext cx="323595" cy="218821"/>
    <xdr:pic>
      <xdr:nvPicPr>
        <xdr:cNvPr id="39" name="image258.png">
          <a:extLst>
            <a:ext uri="{FF2B5EF4-FFF2-40B4-BE49-F238E27FC236}">
              <a16:creationId xmlns:a16="http://schemas.microsoft.com/office/drawing/2014/main" id="{7AF2797E-60A9-4057-9058-D02431295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lum/>
          <a:alphaModFix/>
        </a:blip>
        <a:srcRect/>
        <a:stretch>
          <a:fillRect/>
        </a:stretch>
      </xdr:blipFill>
      <xdr:spPr>
        <a:xfrm>
          <a:off x="0" y="208121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101</xdr:row>
      <xdr:rowOff>0</xdr:rowOff>
    </xdr:from>
    <xdr:ext cx="332994" cy="218821"/>
    <xdr:pic>
      <xdr:nvPicPr>
        <xdr:cNvPr id="40" name="image262.png">
          <a:extLst>
            <a:ext uri="{FF2B5EF4-FFF2-40B4-BE49-F238E27FC236}">
              <a16:creationId xmlns:a16="http://schemas.microsoft.com/office/drawing/2014/main" id="{2861C059-3C7C-4C3F-B43F-ED770ED7F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lum/>
          <a:alphaModFix/>
        </a:blip>
        <a:srcRect/>
        <a:stretch>
          <a:fillRect/>
        </a:stretch>
      </xdr:blipFill>
      <xdr:spPr>
        <a:xfrm>
          <a:off x="0" y="221265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115</xdr:row>
      <xdr:rowOff>0</xdr:rowOff>
    </xdr:from>
    <xdr:ext cx="332994" cy="218821"/>
    <xdr:pic>
      <xdr:nvPicPr>
        <xdr:cNvPr id="41" name="image257.png">
          <a:extLst>
            <a:ext uri="{FF2B5EF4-FFF2-40B4-BE49-F238E27FC236}">
              <a16:creationId xmlns:a16="http://schemas.microsoft.com/office/drawing/2014/main" id="{CA588166-5FF6-4E65-BD54-FC20444EC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lum/>
          <a:alphaModFix/>
        </a:blip>
        <a:srcRect/>
        <a:stretch>
          <a:fillRect/>
        </a:stretch>
      </xdr:blipFill>
      <xdr:spPr>
        <a:xfrm>
          <a:off x="0" y="251936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133</xdr:row>
      <xdr:rowOff>0</xdr:rowOff>
    </xdr:from>
    <xdr:ext cx="332994" cy="218821"/>
    <xdr:pic>
      <xdr:nvPicPr>
        <xdr:cNvPr id="42" name="image260.png">
          <a:extLst>
            <a:ext uri="{FF2B5EF4-FFF2-40B4-BE49-F238E27FC236}">
              <a16:creationId xmlns:a16="http://schemas.microsoft.com/office/drawing/2014/main" id="{C077B69F-76B3-424C-8D25-A02207325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lum/>
          <a:alphaModFix/>
        </a:blip>
        <a:srcRect/>
        <a:stretch>
          <a:fillRect/>
        </a:stretch>
      </xdr:blipFill>
      <xdr:spPr>
        <a:xfrm>
          <a:off x="0" y="291369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135</xdr:row>
      <xdr:rowOff>0</xdr:rowOff>
    </xdr:from>
    <xdr:ext cx="332994" cy="218821"/>
    <xdr:pic>
      <xdr:nvPicPr>
        <xdr:cNvPr id="43" name="image261.png">
          <a:extLst>
            <a:ext uri="{FF2B5EF4-FFF2-40B4-BE49-F238E27FC236}">
              <a16:creationId xmlns:a16="http://schemas.microsoft.com/office/drawing/2014/main" id="{7E576A48-6783-4B93-9C97-102367CDD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lum/>
          <a:alphaModFix/>
        </a:blip>
        <a:srcRect/>
        <a:stretch>
          <a:fillRect/>
        </a:stretch>
      </xdr:blipFill>
      <xdr:spPr>
        <a:xfrm>
          <a:off x="0" y="295751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139</xdr:row>
      <xdr:rowOff>0</xdr:rowOff>
    </xdr:from>
    <xdr:ext cx="332994" cy="218821"/>
    <xdr:pic>
      <xdr:nvPicPr>
        <xdr:cNvPr id="44" name="image263.png">
          <a:extLst>
            <a:ext uri="{FF2B5EF4-FFF2-40B4-BE49-F238E27FC236}">
              <a16:creationId xmlns:a16="http://schemas.microsoft.com/office/drawing/2014/main" id="{6AA8ADFC-6208-4F91-9FF8-7AA130219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lum/>
          <a:alphaModFix/>
        </a:blip>
        <a:srcRect/>
        <a:stretch>
          <a:fillRect/>
        </a:stretch>
      </xdr:blipFill>
      <xdr:spPr>
        <a:xfrm>
          <a:off x="0" y="304514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141</xdr:row>
      <xdr:rowOff>0</xdr:rowOff>
    </xdr:from>
    <xdr:ext cx="332994" cy="218821"/>
    <xdr:pic>
      <xdr:nvPicPr>
        <xdr:cNvPr id="45" name="image268.png">
          <a:extLst>
            <a:ext uri="{FF2B5EF4-FFF2-40B4-BE49-F238E27FC236}">
              <a16:creationId xmlns:a16="http://schemas.microsoft.com/office/drawing/2014/main" id="{3226830E-A203-442F-B0E6-E7AA9D2D7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lum/>
          <a:alphaModFix/>
        </a:blip>
        <a:srcRect/>
        <a:stretch>
          <a:fillRect/>
        </a:stretch>
      </xdr:blipFill>
      <xdr:spPr>
        <a:xfrm>
          <a:off x="0" y="308895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143</xdr:row>
      <xdr:rowOff>0</xdr:rowOff>
    </xdr:from>
    <xdr:ext cx="323595" cy="218821"/>
    <xdr:pic>
      <xdr:nvPicPr>
        <xdr:cNvPr id="46" name="image264.png">
          <a:extLst>
            <a:ext uri="{FF2B5EF4-FFF2-40B4-BE49-F238E27FC236}">
              <a16:creationId xmlns:a16="http://schemas.microsoft.com/office/drawing/2014/main" id="{226A3407-285D-4CC1-9BE6-22FE8B19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lum/>
          <a:alphaModFix/>
        </a:blip>
        <a:srcRect/>
        <a:stretch>
          <a:fillRect/>
        </a:stretch>
      </xdr:blipFill>
      <xdr:spPr>
        <a:xfrm>
          <a:off x="0" y="31327725"/>
          <a:ext cx="323595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145</xdr:row>
      <xdr:rowOff>0</xdr:rowOff>
    </xdr:from>
    <xdr:ext cx="332994" cy="218821"/>
    <xdr:pic>
      <xdr:nvPicPr>
        <xdr:cNvPr id="47" name="image271.png">
          <a:extLst>
            <a:ext uri="{FF2B5EF4-FFF2-40B4-BE49-F238E27FC236}">
              <a16:creationId xmlns:a16="http://schemas.microsoft.com/office/drawing/2014/main" id="{5375BFBE-18F4-46F7-9F67-78EFAE8C1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lum/>
          <a:alphaModFix/>
        </a:blip>
        <a:srcRect/>
        <a:stretch>
          <a:fillRect/>
        </a:stretch>
      </xdr:blipFill>
      <xdr:spPr>
        <a:xfrm>
          <a:off x="0" y="317658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149</xdr:row>
      <xdr:rowOff>0</xdr:rowOff>
    </xdr:from>
    <xdr:ext cx="332994" cy="218821"/>
    <xdr:pic>
      <xdr:nvPicPr>
        <xdr:cNvPr id="48" name="image265.png">
          <a:extLst>
            <a:ext uri="{FF2B5EF4-FFF2-40B4-BE49-F238E27FC236}">
              <a16:creationId xmlns:a16="http://schemas.microsoft.com/office/drawing/2014/main" id="{59E9167D-2D9A-47EA-981A-953A3C925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lum/>
          <a:alphaModFix/>
        </a:blip>
        <a:srcRect/>
        <a:stretch>
          <a:fillRect/>
        </a:stretch>
      </xdr:blipFill>
      <xdr:spPr>
        <a:xfrm>
          <a:off x="0" y="326421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151</xdr:row>
      <xdr:rowOff>0</xdr:rowOff>
    </xdr:from>
    <xdr:ext cx="332994" cy="218821"/>
    <xdr:pic>
      <xdr:nvPicPr>
        <xdr:cNvPr id="49" name="image269.png">
          <a:extLst>
            <a:ext uri="{FF2B5EF4-FFF2-40B4-BE49-F238E27FC236}">
              <a16:creationId xmlns:a16="http://schemas.microsoft.com/office/drawing/2014/main" id="{780BB743-8D60-43C8-909C-D33DA66CA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lum/>
          <a:alphaModFix/>
        </a:blip>
        <a:srcRect/>
        <a:stretch>
          <a:fillRect/>
        </a:stretch>
      </xdr:blipFill>
      <xdr:spPr>
        <a:xfrm>
          <a:off x="0" y="3308032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153</xdr:row>
      <xdr:rowOff>0</xdr:rowOff>
    </xdr:from>
    <xdr:ext cx="332994" cy="218821"/>
    <xdr:pic>
      <xdr:nvPicPr>
        <xdr:cNvPr id="50" name="image270.png">
          <a:extLst>
            <a:ext uri="{FF2B5EF4-FFF2-40B4-BE49-F238E27FC236}">
              <a16:creationId xmlns:a16="http://schemas.microsoft.com/office/drawing/2014/main" id="{0C1193AD-8081-4D2B-9DCD-5CCE00F89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lum/>
          <a:alphaModFix/>
        </a:blip>
        <a:srcRect/>
        <a:stretch>
          <a:fillRect/>
        </a:stretch>
      </xdr:blipFill>
      <xdr:spPr>
        <a:xfrm>
          <a:off x="0" y="335184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0</xdr:colOff>
      <xdr:row>157</xdr:row>
      <xdr:rowOff>0</xdr:rowOff>
    </xdr:from>
    <xdr:ext cx="332994" cy="218821"/>
    <xdr:pic>
      <xdr:nvPicPr>
        <xdr:cNvPr id="51" name="image272.png">
          <a:extLst>
            <a:ext uri="{FF2B5EF4-FFF2-40B4-BE49-F238E27FC236}">
              <a16:creationId xmlns:a16="http://schemas.microsoft.com/office/drawing/2014/main" id="{BACBCFFF-2928-49D1-8668-7CFF4EFB5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lum/>
          <a:alphaModFix/>
        </a:blip>
        <a:srcRect/>
        <a:stretch>
          <a:fillRect/>
        </a:stretch>
      </xdr:blipFill>
      <xdr:spPr>
        <a:xfrm>
          <a:off x="0" y="34394775"/>
          <a:ext cx="332994" cy="218821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100"/>
  <sheetViews>
    <sheetView workbookViewId="0">
      <selection activeCell="C31" sqref="C31"/>
    </sheetView>
  </sheetViews>
  <sheetFormatPr defaultRowHeight="15.75" customHeight="1" x14ac:dyDescent="0.2"/>
  <cols>
    <col min="1" max="1" width="6" customWidth="1"/>
    <col min="2" max="2" width="9.6640625" customWidth="1"/>
    <col min="3" max="4" width="5.77734375" bestFit="1" customWidth="1"/>
    <col min="5" max="5" width="6" customWidth="1"/>
    <col min="6" max="6" width="12.33203125" customWidth="1"/>
    <col min="7" max="8" width="4.88671875" customWidth="1"/>
    <col min="9" max="9" width="6" customWidth="1"/>
    <col min="10" max="10" width="9.6640625" customWidth="1"/>
    <col min="11" max="12" width="4.88671875" customWidth="1"/>
    <col min="13" max="1024" width="11.88671875" customWidth="1"/>
  </cols>
  <sheetData>
    <row r="1" spans="1:12" ht="16.5" customHeight="1" x14ac:dyDescent="0.2">
      <c r="A1" s="1"/>
      <c r="B1" s="1" t="s">
        <v>0</v>
      </c>
      <c r="C1" s="2" t="s">
        <v>1</v>
      </c>
      <c r="D1" s="3" t="s">
        <v>2</v>
      </c>
      <c r="E1" s="4"/>
      <c r="F1" s="4" t="s">
        <v>3</v>
      </c>
      <c r="G1" s="5" t="s">
        <v>1</v>
      </c>
      <c r="H1" s="6" t="s">
        <v>2</v>
      </c>
      <c r="I1" s="7"/>
      <c r="J1" s="7" t="s">
        <v>4</v>
      </c>
      <c r="K1" s="8" t="s">
        <v>1</v>
      </c>
      <c r="L1" s="9" t="s">
        <v>2</v>
      </c>
    </row>
    <row r="2" spans="1:12" ht="24.75" customHeight="1" x14ac:dyDescent="0.2">
      <c r="A2" s="10"/>
      <c r="B2" s="10" t="s">
        <v>5</v>
      </c>
      <c r="C2" s="11">
        <v>720</v>
      </c>
      <c r="D2" s="12">
        <f t="shared" ref="D2:D33" si="0">C2/0.8</f>
        <v>900</v>
      </c>
      <c r="E2" s="13"/>
      <c r="F2" s="13" t="s">
        <v>6</v>
      </c>
      <c r="G2" s="14">
        <v>128</v>
      </c>
      <c r="H2" s="15">
        <f t="shared" ref="H2:H33" si="1">G2/0.8</f>
        <v>160</v>
      </c>
      <c r="I2" s="16"/>
      <c r="J2" s="16" t="s">
        <v>7</v>
      </c>
      <c r="K2" s="17">
        <v>80</v>
      </c>
      <c r="L2" s="18">
        <f t="shared" ref="L2:L15" si="2">K2/0.8</f>
        <v>100</v>
      </c>
    </row>
    <row r="3" spans="1:12" ht="24.75" customHeight="1" x14ac:dyDescent="0.2">
      <c r="A3" s="10"/>
      <c r="B3" s="10" t="s">
        <v>8</v>
      </c>
      <c r="C3" s="11">
        <v>160</v>
      </c>
      <c r="D3" s="12">
        <f t="shared" si="0"/>
        <v>200</v>
      </c>
      <c r="E3" s="13"/>
      <c r="F3" s="13" t="s">
        <v>9</v>
      </c>
      <c r="G3" s="14">
        <v>128</v>
      </c>
      <c r="H3" s="15">
        <f t="shared" si="1"/>
        <v>160</v>
      </c>
      <c r="I3" s="16"/>
      <c r="J3" s="16" t="s">
        <v>10</v>
      </c>
      <c r="K3" s="17">
        <v>400</v>
      </c>
      <c r="L3" s="18">
        <f t="shared" si="2"/>
        <v>500</v>
      </c>
    </row>
    <row r="4" spans="1:12" ht="24.75" customHeight="1" x14ac:dyDescent="0.2">
      <c r="A4" s="10"/>
      <c r="B4" s="10" t="s">
        <v>11</v>
      </c>
      <c r="C4" s="11">
        <v>128</v>
      </c>
      <c r="D4" s="12">
        <f t="shared" si="0"/>
        <v>160</v>
      </c>
      <c r="E4" s="13"/>
      <c r="F4" s="13" t="s">
        <v>12</v>
      </c>
      <c r="G4" s="14">
        <v>192</v>
      </c>
      <c r="H4" s="15">
        <f t="shared" si="1"/>
        <v>240</v>
      </c>
      <c r="I4" s="16"/>
      <c r="J4" s="16" t="s">
        <v>13</v>
      </c>
      <c r="K4" s="17">
        <v>200</v>
      </c>
      <c r="L4" s="18">
        <f t="shared" si="2"/>
        <v>250</v>
      </c>
    </row>
    <row r="5" spans="1:12" ht="24.75" customHeight="1" x14ac:dyDescent="0.2">
      <c r="A5" s="10"/>
      <c r="B5" s="10" t="s">
        <v>14</v>
      </c>
      <c r="C5" s="11">
        <v>192</v>
      </c>
      <c r="D5" s="12">
        <f t="shared" si="0"/>
        <v>240</v>
      </c>
      <c r="E5" s="13"/>
      <c r="F5" s="13" t="s">
        <v>15</v>
      </c>
      <c r="G5" s="14">
        <v>2000</v>
      </c>
      <c r="H5" s="15">
        <f t="shared" si="1"/>
        <v>2500</v>
      </c>
      <c r="I5" s="16"/>
      <c r="J5" s="16" t="s">
        <v>16</v>
      </c>
      <c r="K5" s="17">
        <v>200</v>
      </c>
      <c r="L5" s="18">
        <f t="shared" si="2"/>
        <v>250</v>
      </c>
    </row>
    <row r="6" spans="1:12" ht="24.75" customHeight="1" x14ac:dyDescent="0.2">
      <c r="A6" s="10"/>
      <c r="B6" s="10" t="s">
        <v>17</v>
      </c>
      <c r="C6" s="11">
        <v>240</v>
      </c>
      <c r="D6" s="12">
        <f t="shared" si="0"/>
        <v>300</v>
      </c>
      <c r="E6" s="13"/>
      <c r="F6" s="13" t="s">
        <v>18</v>
      </c>
      <c r="G6" s="14">
        <v>240</v>
      </c>
      <c r="H6" s="15">
        <f t="shared" si="1"/>
        <v>300</v>
      </c>
      <c r="I6" s="16"/>
      <c r="J6" s="16" t="s">
        <v>19</v>
      </c>
      <c r="K6" s="17">
        <v>64</v>
      </c>
      <c r="L6" s="18">
        <f t="shared" si="2"/>
        <v>80</v>
      </c>
    </row>
    <row r="7" spans="1:12" ht="24.75" customHeight="1" x14ac:dyDescent="0.2">
      <c r="A7" s="10"/>
      <c r="B7" s="10" t="s">
        <v>20</v>
      </c>
      <c r="C7" s="11">
        <v>3200</v>
      </c>
      <c r="D7" s="12">
        <f t="shared" si="0"/>
        <v>4000</v>
      </c>
      <c r="E7" s="13"/>
      <c r="F7" s="13" t="s">
        <v>21</v>
      </c>
      <c r="G7" s="14">
        <v>800</v>
      </c>
      <c r="H7" s="15">
        <f t="shared" si="1"/>
        <v>1000</v>
      </c>
      <c r="I7" s="16"/>
      <c r="J7" s="16" t="s">
        <v>22</v>
      </c>
      <c r="K7" s="17">
        <v>160</v>
      </c>
      <c r="L7" s="18">
        <f t="shared" si="2"/>
        <v>200</v>
      </c>
    </row>
    <row r="8" spans="1:12" ht="24.75" customHeight="1" x14ac:dyDescent="0.2">
      <c r="A8" s="10"/>
      <c r="B8" s="10" t="s">
        <v>23</v>
      </c>
      <c r="C8" s="11">
        <v>1040</v>
      </c>
      <c r="D8" s="12">
        <f t="shared" si="0"/>
        <v>1300</v>
      </c>
      <c r="E8" s="13"/>
      <c r="F8" s="13" t="s">
        <v>24</v>
      </c>
      <c r="G8" s="14">
        <v>2400</v>
      </c>
      <c r="H8" s="15">
        <f t="shared" si="1"/>
        <v>3000</v>
      </c>
      <c r="I8" s="16"/>
      <c r="J8" s="16" t="s">
        <v>25</v>
      </c>
      <c r="K8" s="17">
        <v>240</v>
      </c>
      <c r="L8" s="18">
        <f t="shared" si="2"/>
        <v>300</v>
      </c>
    </row>
    <row r="9" spans="1:12" ht="24.75" customHeight="1" x14ac:dyDescent="0.2">
      <c r="A9" s="10"/>
      <c r="B9" s="10" t="s">
        <v>26</v>
      </c>
      <c r="C9" s="11">
        <v>1040</v>
      </c>
      <c r="D9" s="12">
        <f t="shared" si="0"/>
        <v>1300</v>
      </c>
      <c r="E9" s="13"/>
      <c r="F9" s="13" t="s">
        <v>27</v>
      </c>
      <c r="G9" s="14">
        <v>112</v>
      </c>
      <c r="H9" s="15">
        <f t="shared" si="1"/>
        <v>140</v>
      </c>
      <c r="I9" s="16"/>
      <c r="J9" s="16" t="s">
        <v>28</v>
      </c>
      <c r="K9" s="17">
        <v>160</v>
      </c>
      <c r="L9" s="18">
        <f t="shared" si="2"/>
        <v>200</v>
      </c>
    </row>
    <row r="10" spans="1:12" ht="24.75" customHeight="1" x14ac:dyDescent="0.2">
      <c r="A10" s="10"/>
      <c r="B10" s="10" t="s">
        <v>29</v>
      </c>
      <c r="C10" s="11">
        <v>3600</v>
      </c>
      <c r="D10" s="12">
        <f t="shared" si="0"/>
        <v>4500</v>
      </c>
      <c r="E10" s="13"/>
      <c r="F10" s="13" t="s">
        <v>30</v>
      </c>
      <c r="G10" s="14">
        <v>3200</v>
      </c>
      <c r="H10" s="15">
        <f t="shared" si="1"/>
        <v>4000</v>
      </c>
      <c r="I10" s="16"/>
      <c r="J10" s="16" t="s">
        <v>31</v>
      </c>
      <c r="K10" s="17">
        <v>160</v>
      </c>
      <c r="L10" s="18">
        <f t="shared" si="2"/>
        <v>200</v>
      </c>
    </row>
    <row r="11" spans="1:12" ht="24.75" customHeight="1" x14ac:dyDescent="0.2">
      <c r="A11" s="10"/>
      <c r="B11" s="10"/>
      <c r="C11" s="11"/>
      <c r="D11" s="12">
        <f t="shared" si="0"/>
        <v>0</v>
      </c>
      <c r="E11" s="13"/>
      <c r="F11" s="13" t="s">
        <v>32</v>
      </c>
      <c r="G11" s="14">
        <v>2400</v>
      </c>
      <c r="H11" s="15">
        <f t="shared" si="1"/>
        <v>3000</v>
      </c>
      <c r="I11" s="16"/>
      <c r="J11" s="16" t="s">
        <v>33</v>
      </c>
      <c r="K11" s="17">
        <v>8</v>
      </c>
      <c r="L11" s="18">
        <f t="shared" si="2"/>
        <v>10</v>
      </c>
    </row>
    <row r="12" spans="1:12" ht="24.75" customHeight="1" x14ac:dyDescent="0.2">
      <c r="A12" s="10"/>
      <c r="B12" s="10" t="s">
        <v>34</v>
      </c>
      <c r="C12" s="11">
        <v>160</v>
      </c>
      <c r="D12" s="12">
        <f t="shared" si="0"/>
        <v>200</v>
      </c>
      <c r="E12" s="13"/>
      <c r="F12" s="13" t="s">
        <v>35</v>
      </c>
      <c r="G12" s="14">
        <v>2000</v>
      </c>
      <c r="H12" s="15">
        <f t="shared" si="1"/>
        <v>2500</v>
      </c>
      <c r="I12" s="16"/>
      <c r="J12" s="16" t="s">
        <v>36</v>
      </c>
      <c r="K12" s="17">
        <v>4</v>
      </c>
      <c r="L12" s="18">
        <f t="shared" si="2"/>
        <v>5</v>
      </c>
    </row>
    <row r="13" spans="1:12" ht="24.75" customHeight="1" x14ac:dyDescent="0.2">
      <c r="A13" s="10"/>
      <c r="B13" s="10" t="s">
        <v>37</v>
      </c>
      <c r="C13" s="11">
        <v>3000</v>
      </c>
      <c r="D13" s="12">
        <f t="shared" si="0"/>
        <v>3750</v>
      </c>
      <c r="E13" s="13"/>
      <c r="F13" s="13" t="s">
        <v>38</v>
      </c>
      <c r="G13" s="14">
        <v>3200</v>
      </c>
      <c r="H13" s="15">
        <f t="shared" si="1"/>
        <v>4000</v>
      </c>
      <c r="I13" s="16"/>
      <c r="J13" s="16" t="s">
        <v>39</v>
      </c>
      <c r="K13" s="17">
        <v>48</v>
      </c>
      <c r="L13" s="18">
        <f t="shared" si="2"/>
        <v>60</v>
      </c>
    </row>
    <row r="14" spans="1:12" ht="24.75" customHeight="1" x14ac:dyDescent="0.2">
      <c r="A14" s="10"/>
      <c r="B14" s="10" t="s">
        <v>40</v>
      </c>
      <c r="C14" s="11">
        <v>4000</v>
      </c>
      <c r="D14" s="12">
        <f t="shared" si="0"/>
        <v>5000</v>
      </c>
      <c r="E14" s="13"/>
      <c r="F14" s="13" t="s">
        <v>41</v>
      </c>
      <c r="G14" s="14">
        <v>104</v>
      </c>
      <c r="H14" s="15">
        <f t="shared" si="1"/>
        <v>130</v>
      </c>
      <c r="I14" s="16"/>
      <c r="J14" s="16" t="s">
        <v>42</v>
      </c>
      <c r="K14" s="17">
        <v>48</v>
      </c>
      <c r="L14" s="18">
        <f t="shared" si="2"/>
        <v>60</v>
      </c>
    </row>
    <row r="15" spans="1:12" ht="24.75" customHeight="1" x14ac:dyDescent="0.2">
      <c r="A15" s="10"/>
      <c r="B15" s="10" t="s">
        <v>43</v>
      </c>
      <c r="C15" s="11">
        <v>80</v>
      </c>
      <c r="D15" s="12">
        <f t="shared" si="0"/>
        <v>100</v>
      </c>
      <c r="E15" s="13"/>
      <c r="F15" s="13" t="s">
        <v>44</v>
      </c>
      <c r="G15" s="14">
        <v>2400</v>
      </c>
      <c r="H15" s="15">
        <f t="shared" si="1"/>
        <v>3000</v>
      </c>
      <c r="I15" s="16"/>
      <c r="J15" s="16" t="s">
        <v>45</v>
      </c>
      <c r="K15" s="17">
        <v>48</v>
      </c>
      <c r="L15" s="18">
        <f t="shared" si="2"/>
        <v>60</v>
      </c>
    </row>
    <row r="16" spans="1:12" ht="24.75" customHeight="1" x14ac:dyDescent="0.2">
      <c r="A16" s="10"/>
      <c r="B16" s="10"/>
      <c r="C16" s="11"/>
      <c r="D16" s="12">
        <f t="shared" si="0"/>
        <v>0</v>
      </c>
      <c r="E16" s="13"/>
      <c r="F16" s="13" t="s">
        <v>46</v>
      </c>
      <c r="G16" s="14">
        <v>2000</v>
      </c>
      <c r="H16" s="15">
        <f t="shared" si="1"/>
        <v>2500</v>
      </c>
      <c r="I16" s="16"/>
      <c r="J16" s="16"/>
      <c r="K16" s="17"/>
      <c r="L16" s="18"/>
    </row>
    <row r="17" spans="1:12" ht="24.75" customHeight="1" x14ac:dyDescent="0.2">
      <c r="A17" s="10"/>
      <c r="B17" s="10" t="s">
        <v>47</v>
      </c>
      <c r="C17" s="11">
        <v>320</v>
      </c>
      <c r="D17" s="12">
        <f t="shared" si="0"/>
        <v>400</v>
      </c>
      <c r="E17" s="13"/>
      <c r="F17" s="13" t="s">
        <v>48</v>
      </c>
      <c r="G17" s="14">
        <v>160</v>
      </c>
      <c r="H17" s="15">
        <f t="shared" si="1"/>
        <v>200</v>
      </c>
      <c r="I17" s="16"/>
      <c r="J17" s="16" t="s">
        <v>49</v>
      </c>
      <c r="K17" s="17">
        <v>8000</v>
      </c>
      <c r="L17" s="18">
        <f>K17/0.8</f>
        <v>10000</v>
      </c>
    </row>
    <row r="18" spans="1:12" ht="24.75" customHeight="1" x14ac:dyDescent="0.2">
      <c r="A18" s="10"/>
      <c r="B18" s="10" t="s">
        <v>50</v>
      </c>
      <c r="C18" s="11">
        <v>320</v>
      </c>
      <c r="D18" s="12">
        <f t="shared" si="0"/>
        <v>400</v>
      </c>
      <c r="E18" s="13"/>
      <c r="F18" s="13" t="s">
        <v>51</v>
      </c>
      <c r="G18" s="14">
        <v>480</v>
      </c>
      <c r="H18" s="15">
        <f t="shared" si="1"/>
        <v>600</v>
      </c>
      <c r="I18" s="16"/>
      <c r="J18" s="16" t="s">
        <v>52</v>
      </c>
      <c r="K18" s="17">
        <v>300</v>
      </c>
      <c r="L18" s="18">
        <f>K18/0.8</f>
        <v>375</v>
      </c>
    </row>
    <row r="19" spans="1:12" ht="24.75" customHeight="1" x14ac:dyDescent="0.2">
      <c r="A19" s="10"/>
      <c r="B19" s="10" t="s">
        <v>53</v>
      </c>
      <c r="C19" s="11">
        <v>640</v>
      </c>
      <c r="D19" s="12">
        <f t="shared" si="0"/>
        <v>800</v>
      </c>
      <c r="E19" s="13"/>
      <c r="F19" s="13" t="s">
        <v>54</v>
      </c>
      <c r="G19" s="14">
        <v>320</v>
      </c>
      <c r="H19" s="15">
        <f t="shared" si="1"/>
        <v>400</v>
      </c>
      <c r="I19" s="16"/>
      <c r="J19" s="16" t="s">
        <v>55</v>
      </c>
      <c r="K19" s="17">
        <v>80</v>
      </c>
      <c r="L19" s="18">
        <f>K19/0.8</f>
        <v>100</v>
      </c>
    </row>
    <row r="20" spans="1:12" ht="24.75" customHeight="1" x14ac:dyDescent="0.2">
      <c r="A20" s="10"/>
      <c r="B20" s="10"/>
      <c r="C20" s="11"/>
      <c r="D20" s="12">
        <f t="shared" si="0"/>
        <v>0</v>
      </c>
      <c r="E20" s="13"/>
      <c r="F20" s="13" t="s">
        <v>56</v>
      </c>
      <c r="G20" s="14">
        <v>128</v>
      </c>
      <c r="H20" s="15">
        <f t="shared" si="1"/>
        <v>160</v>
      </c>
      <c r="I20" s="16"/>
      <c r="J20" s="16" t="s">
        <v>57</v>
      </c>
      <c r="K20" s="17">
        <v>60</v>
      </c>
      <c r="L20" s="18">
        <f>K20/0.8</f>
        <v>75</v>
      </c>
    </row>
    <row r="21" spans="1:12" ht="24.75" customHeight="1" x14ac:dyDescent="0.2">
      <c r="A21" s="10"/>
      <c r="B21" s="10" t="s">
        <v>58</v>
      </c>
      <c r="C21" s="11">
        <v>144</v>
      </c>
      <c r="D21" s="12">
        <f t="shared" si="0"/>
        <v>180</v>
      </c>
      <c r="E21" s="13"/>
      <c r="F21" s="13" t="s">
        <v>59</v>
      </c>
      <c r="G21" s="14">
        <v>104</v>
      </c>
      <c r="H21" s="15">
        <f t="shared" si="1"/>
        <v>130</v>
      </c>
      <c r="I21" s="16"/>
      <c r="J21" s="16" t="s">
        <v>60</v>
      </c>
      <c r="K21" s="17">
        <v>80</v>
      </c>
      <c r="L21" s="18">
        <f>K21/0.8</f>
        <v>100</v>
      </c>
    </row>
    <row r="22" spans="1:12" ht="24.75" customHeight="1" x14ac:dyDescent="0.2">
      <c r="A22" s="10"/>
      <c r="B22" s="10" t="s">
        <v>61</v>
      </c>
      <c r="C22" s="11">
        <v>240</v>
      </c>
      <c r="D22" s="12">
        <f t="shared" si="0"/>
        <v>300</v>
      </c>
      <c r="E22" s="13"/>
      <c r="F22" s="13" t="s">
        <v>62</v>
      </c>
      <c r="G22" s="14">
        <v>344</v>
      </c>
      <c r="H22" s="15">
        <f t="shared" si="1"/>
        <v>430</v>
      </c>
      <c r="I22" s="16"/>
      <c r="J22" s="16"/>
      <c r="K22" s="17"/>
      <c r="L22" s="19"/>
    </row>
    <row r="23" spans="1:12" ht="24.75" customHeight="1" x14ac:dyDescent="0.2">
      <c r="A23" s="10"/>
      <c r="B23" s="10" t="s">
        <v>63</v>
      </c>
      <c r="C23" s="11">
        <v>320</v>
      </c>
      <c r="D23" s="12">
        <f t="shared" si="0"/>
        <v>400</v>
      </c>
      <c r="E23" s="13"/>
      <c r="F23" s="13" t="s">
        <v>64</v>
      </c>
      <c r="G23" s="14">
        <v>344</v>
      </c>
      <c r="H23" s="15">
        <f t="shared" si="1"/>
        <v>430</v>
      </c>
      <c r="I23" s="16"/>
      <c r="J23" s="16" t="s">
        <v>65</v>
      </c>
      <c r="K23" s="17">
        <v>96</v>
      </c>
      <c r="L23" s="18">
        <f t="shared" ref="L23:L29" si="3">K23/0.8</f>
        <v>120</v>
      </c>
    </row>
    <row r="24" spans="1:12" ht="24.75" customHeight="1" x14ac:dyDescent="0.2">
      <c r="A24" s="10"/>
      <c r="B24" s="10" t="s">
        <v>66</v>
      </c>
      <c r="C24" s="11">
        <v>640</v>
      </c>
      <c r="D24" s="12">
        <f t="shared" si="0"/>
        <v>800</v>
      </c>
      <c r="E24" s="13"/>
      <c r="F24" s="13" t="s">
        <v>67</v>
      </c>
      <c r="G24" s="14">
        <v>1920</v>
      </c>
      <c r="H24" s="15">
        <f t="shared" si="1"/>
        <v>2400</v>
      </c>
      <c r="I24" s="16"/>
      <c r="J24" s="16" t="s">
        <v>68</v>
      </c>
      <c r="K24" s="17">
        <v>400</v>
      </c>
      <c r="L24" s="18">
        <f t="shared" si="3"/>
        <v>500</v>
      </c>
    </row>
    <row r="25" spans="1:12" ht="24.75" customHeight="1" x14ac:dyDescent="0.2">
      <c r="A25" s="10"/>
      <c r="B25" s="10" t="s">
        <v>69</v>
      </c>
      <c r="C25" s="11">
        <v>1440</v>
      </c>
      <c r="D25" s="12">
        <f t="shared" si="0"/>
        <v>1800</v>
      </c>
      <c r="E25" s="13"/>
      <c r="F25" s="13" t="s">
        <v>70</v>
      </c>
      <c r="G25" s="14">
        <v>160</v>
      </c>
      <c r="H25" s="15">
        <f t="shared" si="1"/>
        <v>200</v>
      </c>
      <c r="I25" s="16"/>
      <c r="J25" s="16" t="s">
        <v>71</v>
      </c>
      <c r="K25" s="17">
        <v>48</v>
      </c>
      <c r="L25" s="18">
        <f t="shared" si="3"/>
        <v>60</v>
      </c>
    </row>
    <row r="26" spans="1:12" ht="24.75" customHeight="1" x14ac:dyDescent="0.2">
      <c r="A26" s="10"/>
      <c r="B26" s="10"/>
      <c r="C26" s="11"/>
      <c r="D26" s="12">
        <f t="shared" si="0"/>
        <v>0</v>
      </c>
      <c r="E26" s="13"/>
      <c r="F26" s="13" t="s">
        <v>72</v>
      </c>
      <c r="G26" s="14">
        <v>2000</v>
      </c>
      <c r="H26" s="15">
        <f t="shared" si="1"/>
        <v>2500</v>
      </c>
      <c r="I26" s="16"/>
      <c r="J26" s="16" t="s">
        <v>73</v>
      </c>
      <c r="K26" s="17">
        <v>720</v>
      </c>
      <c r="L26" s="18">
        <f t="shared" si="3"/>
        <v>900</v>
      </c>
    </row>
    <row r="27" spans="1:12" ht="24.75" customHeight="1" x14ac:dyDescent="0.2">
      <c r="A27" s="10"/>
      <c r="B27" s="10" t="s">
        <v>74</v>
      </c>
      <c r="C27" s="11">
        <v>720</v>
      </c>
      <c r="D27" s="12">
        <f t="shared" si="0"/>
        <v>900</v>
      </c>
      <c r="E27" s="13"/>
      <c r="F27" s="13"/>
      <c r="G27" s="14"/>
      <c r="H27" s="15">
        <f t="shared" si="1"/>
        <v>0</v>
      </c>
      <c r="I27" s="16"/>
      <c r="J27" s="16" t="s">
        <v>75</v>
      </c>
      <c r="K27" s="17">
        <v>560</v>
      </c>
      <c r="L27" s="18">
        <f t="shared" si="3"/>
        <v>700</v>
      </c>
    </row>
    <row r="28" spans="1:12" ht="24.75" customHeight="1" x14ac:dyDescent="0.2">
      <c r="A28" s="10"/>
      <c r="B28" s="10" t="s">
        <v>76</v>
      </c>
      <c r="C28" s="11">
        <v>800</v>
      </c>
      <c r="D28" s="12">
        <f t="shared" si="0"/>
        <v>1000</v>
      </c>
      <c r="E28" s="13"/>
      <c r="F28" s="13"/>
      <c r="G28" s="14"/>
      <c r="H28" s="15">
        <f t="shared" si="1"/>
        <v>0</v>
      </c>
      <c r="I28" s="16"/>
      <c r="J28" s="16" t="s">
        <v>77</v>
      </c>
      <c r="K28" s="17">
        <v>240</v>
      </c>
      <c r="L28" s="18">
        <f t="shared" si="3"/>
        <v>300</v>
      </c>
    </row>
    <row r="29" spans="1:12" ht="24.75" customHeight="1" x14ac:dyDescent="0.2">
      <c r="A29" s="10"/>
      <c r="B29" s="10" t="s">
        <v>78</v>
      </c>
      <c r="C29" s="11">
        <v>3040</v>
      </c>
      <c r="D29" s="12">
        <f t="shared" si="0"/>
        <v>3800</v>
      </c>
      <c r="E29" s="13"/>
      <c r="F29" s="13"/>
      <c r="G29" s="14"/>
      <c r="H29" s="15">
        <f t="shared" si="1"/>
        <v>0</v>
      </c>
      <c r="I29" s="16"/>
      <c r="J29" s="16" t="s">
        <v>79</v>
      </c>
      <c r="K29" s="17">
        <v>144</v>
      </c>
      <c r="L29" s="18">
        <f t="shared" si="3"/>
        <v>180</v>
      </c>
    </row>
    <row r="30" spans="1:12" ht="24.75" customHeight="1" x14ac:dyDescent="0.2">
      <c r="A30" s="10"/>
      <c r="B30" s="10" t="s">
        <v>80</v>
      </c>
      <c r="C30" s="11">
        <v>12000</v>
      </c>
      <c r="D30" s="12">
        <f t="shared" si="0"/>
        <v>15000</v>
      </c>
      <c r="E30" s="13"/>
      <c r="F30" s="13" t="s">
        <v>81</v>
      </c>
      <c r="G30" s="14">
        <v>320</v>
      </c>
      <c r="H30" s="15">
        <f t="shared" si="1"/>
        <v>400</v>
      </c>
      <c r="I30" s="16"/>
      <c r="J30" s="16"/>
      <c r="K30" s="17"/>
      <c r="L30" s="19"/>
    </row>
    <row r="31" spans="1:12" ht="24.75" customHeight="1" x14ac:dyDescent="0.2">
      <c r="A31" s="10"/>
      <c r="B31" s="10" t="s">
        <v>82</v>
      </c>
      <c r="C31" s="11">
        <v>12000</v>
      </c>
      <c r="D31" s="12">
        <f t="shared" si="0"/>
        <v>15000</v>
      </c>
      <c r="E31" s="13"/>
      <c r="F31" s="13"/>
      <c r="G31" s="14"/>
      <c r="H31" s="15">
        <f t="shared" si="1"/>
        <v>0</v>
      </c>
      <c r="I31" s="16"/>
      <c r="J31" s="16" t="s">
        <v>83</v>
      </c>
      <c r="K31" s="17">
        <v>80</v>
      </c>
      <c r="L31" s="18">
        <f>K31/0.8</f>
        <v>100</v>
      </c>
    </row>
    <row r="32" spans="1:12" ht="24.75" customHeight="1" x14ac:dyDescent="0.2">
      <c r="A32" s="10"/>
      <c r="B32" s="10" t="s">
        <v>84</v>
      </c>
      <c r="C32" s="11">
        <v>560</v>
      </c>
      <c r="D32" s="12">
        <f t="shared" si="0"/>
        <v>700</v>
      </c>
      <c r="E32" s="13"/>
      <c r="F32" s="13"/>
      <c r="G32" s="14"/>
      <c r="H32" s="15">
        <f t="shared" si="1"/>
        <v>0</v>
      </c>
      <c r="I32" s="16"/>
      <c r="J32" s="16" t="s">
        <v>85</v>
      </c>
      <c r="K32" s="17">
        <v>160</v>
      </c>
      <c r="L32" s="18">
        <f>K32/0.8</f>
        <v>200</v>
      </c>
    </row>
    <row r="33" spans="1:12" ht="24.75" customHeight="1" x14ac:dyDescent="0.2">
      <c r="A33" s="10"/>
      <c r="B33" s="10" t="s">
        <v>86</v>
      </c>
      <c r="C33" s="11">
        <v>1440</v>
      </c>
      <c r="D33" s="12">
        <f t="shared" si="0"/>
        <v>1800</v>
      </c>
      <c r="E33" s="13"/>
      <c r="F33" s="13" t="s">
        <v>87</v>
      </c>
      <c r="G33" s="14">
        <v>144</v>
      </c>
      <c r="H33" s="15">
        <f t="shared" si="1"/>
        <v>180</v>
      </c>
      <c r="I33" s="16"/>
      <c r="J33" s="16" t="s">
        <v>88</v>
      </c>
      <c r="K33" s="17">
        <v>8</v>
      </c>
      <c r="L33" s="18">
        <f>K33/0.8</f>
        <v>10</v>
      </c>
    </row>
    <row r="34" spans="1:12" ht="24.75" customHeight="1" x14ac:dyDescent="0.2">
      <c r="A34" s="10"/>
      <c r="B34" s="10" t="s">
        <v>89</v>
      </c>
      <c r="C34" s="11">
        <v>1600</v>
      </c>
      <c r="D34" s="12">
        <f t="shared" ref="D34:D65" si="4">C34/0.8</f>
        <v>2000</v>
      </c>
      <c r="E34" s="13"/>
      <c r="F34" s="13" t="s">
        <v>90</v>
      </c>
      <c r="G34" s="14">
        <v>184</v>
      </c>
      <c r="H34" s="15">
        <f t="shared" ref="H34:H65" si="5">G34/0.8</f>
        <v>230</v>
      </c>
      <c r="I34" s="16"/>
      <c r="J34" s="16" t="s">
        <v>91</v>
      </c>
      <c r="K34" s="17">
        <v>8</v>
      </c>
      <c r="L34" s="18">
        <f>K34/0.8</f>
        <v>10</v>
      </c>
    </row>
    <row r="35" spans="1:12" ht="24.75" customHeight="1" x14ac:dyDescent="0.2">
      <c r="A35" s="10"/>
      <c r="B35" s="10" t="s">
        <v>92</v>
      </c>
      <c r="C35" s="11">
        <v>1040</v>
      </c>
      <c r="D35" s="12">
        <f t="shared" si="4"/>
        <v>1300</v>
      </c>
      <c r="E35" s="13"/>
      <c r="F35" s="13" t="s">
        <v>93</v>
      </c>
      <c r="G35" s="14">
        <v>3600</v>
      </c>
      <c r="H35" s="15">
        <f t="shared" si="5"/>
        <v>4500</v>
      </c>
      <c r="I35" s="16"/>
      <c r="J35" s="16" t="s">
        <v>94</v>
      </c>
      <c r="K35" s="17">
        <v>8</v>
      </c>
      <c r="L35" s="18">
        <f>K35/0.8</f>
        <v>10</v>
      </c>
    </row>
    <row r="36" spans="1:12" ht="24.75" customHeight="1" x14ac:dyDescent="0.2">
      <c r="A36" s="10"/>
      <c r="B36" s="10" t="s">
        <v>95</v>
      </c>
      <c r="C36" s="11">
        <v>1200</v>
      </c>
      <c r="D36" s="12">
        <f t="shared" si="4"/>
        <v>1500</v>
      </c>
      <c r="E36" s="13"/>
      <c r="F36" s="13"/>
      <c r="G36" s="14"/>
      <c r="H36" s="15">
        <f t="shared" si="5"/>
        <v>0</v>
      </c>
      <c r="I36" s="16"/>
      <c r="J36" s="16"/>
      <c r="K36" s="17"/>
      <c r="L36" s="18"/>
    </row>
    <row r="37" spans="1:12" ht="24.75" customHeight="1" x14ac:dyDescent="0.2">
      <c r="A37" s="10"/>
      <c r="B37" s="10" t="s">
        <v>96</v>
      </c>
      <c r="C37" s="11">
        <v>2400</v>
      </c>
      <c r="D37" s="12">
        <f t="shared" si="4"/>
        <v>3000</v>
      </c>
      <c r="E37" s="13"/>
      <c r="F37" s="13"/>
      <c r="G37" s="14"/>
      <c r="H37" s="15">
        <f t="shared" si="5"/>
        <v>0</v>
      </c>
      <c r="I37" s="16"/>
      <c r="J37" s="16" t="s">
        <v>97</v>
      </c>
      <c r="K37" s="17">
        <v>32</v>
      </c>
      <c r="L37" s="18">
        <f>K37/0.8</f>
        <v>40</v>
      </c>
    </row>
    <row r="38" spans="1:12" ht="24.75" customHeight="1" x14ac:dyDescent="0.2">
      <c r="A38" s="10"/>
      <c r="B38" s="10" t="s">
        <v>98</v>
      </c>
      <c r="C38" s="11">
        <v>2000</v>
      </c>
      <c r="D38" s="12">
        <f t="shared" si="4"/>
        <v>2500</v>
      </c>
      <c r="E38" s="13"/>
      <c r="F38" s="13" t="s">
        <v>99</v>
      </c>
      <c r="G38" s="14">
        <v>400</v>
      </c>
      <c r="H38" s="15">
        <f t="shared" si="5"/>
        <v>500</v>
      </c>
      <c r="I38" s="16"/>
      <c r="J38" s="16" t="s">
        <v>100</v>
      </c>
      <c r="K38" s="17">
        <v>32</v>
      </c>
      <c r="L38" s="18">
        <f>K38/0.8</f>
        <v>40</v>
      </c>
    </row>
    <row r="39" spans="1:12" ht="24.75" customHeight="1" x14ac:dyDescent="0.2">
      <c r="A39" s="10"/>
      <c r="B39" s="10" t="s">
        <v>101</v>
      </c>
      <c r="C39" s="11">
        <v>400</v>
      </c>
      <c r="D39" s="12">
        <f t="shared" si="4"/>
        <v>500</v>
      </c>
      <c r="E39" s="13"/>
      <c r="F39" s="13" t="s">
        <v>102</v>
      </c>
      <c r="G39" s="14">
        <v>104</v>
      </c>
      <c r="H39" s="15">
        <f t="shared" si="5"/>
        <v>130</v>
      </c>
      <c r="I39" s="16"/>
      <c r="J39" s="16" t="s">
        <v>103</v>
      </c>
      <c r="K39" s="17">
        <v>32</v>
      </c>
      <c r="L39" s="18">
        <f>K39/0.8</f>
        <v>40</v>
      </c>
    </row>
    <row r="40" spans="1:12" ht="24.75" customHeight="1" x14ac:dyDescent="0.2">
      <c r="A40" s="10"/>
      <c r="B40" s="10" t="s">
        <v>104</v>
      </c>
      <c r="C40" s="11">
        <v>640</v>
      </c>
      <c r="D40" s="12">
        <f t="shared" si="4"/>
        <v>800</v>
      </c>
      <c r="E40" s="13"/>
      <c r="F40" s="13" t="s">
        <v>105</v>
      </c>
      <c r="G40" s="14">
        <v>640</v>
      </c>
      <c r="H40" s="15">
        <f t="shared" si="5"/>
        <v>800</v>
      </c>
      <c r="I40" s="20"/>
      <c r="J40" s="20"/>
      <c r="K40" s="20"/>
      <c r="L40" s="20"/>
    </row>
    <row r="41" spans="1:12" ht="24.75" customHeight="1" x14ac:dyDescent="0.2">
      <c r="A41" s="10"/>
      <c r="B41" s="10" t="s">
        <v>106</v>
      </c>
      <c r="C41" s="11">
        <v>2000</v>
      </c>
      <c r="D41" s="12">
        <f t="shared" si="4"/>
        <v>2500</v>
      </c>
      <c r="E41" s="13"/>
      <c r="F41" s="13" t="s">
        <v>107</v>
      </c>
      <c r="G41" s="14">
        <v>1600</v>
      </c>
      <c r="H41" s="15">
        <f t="shared" si="5"/>
        <v>2000</v>
      </c>
      <c r="I41" s="16"/>
      <c r="J41" s="16"/>
      <c r="K41" s="17"/>
      <c r="L41" s="18">
        <f t="shared" ref="L41:L81" si="6">K41/0.8</f>
        <v>0</v>
      </c>
    </row>
    <row r="42" spans="1:12" ht="24.75" customHeight="1" x14ac:dyDescent="0.2">
      <c r="A42" s="10"/>
      <c r="B42" s="10" t="s">
        <v>108</v>
      </c>
      <c r="C42" s="11">
        <v>8000</v>
      </c>
      <c r="D42" s="12">
        <f t="shared" si="4"/>
        <v>10000</v>
      </c>
      <c r="E42" s="13"/>
      <c r="F42" s="13" t="s">
        <v>109</v>
      </c>
      <c r="G42" s="14">
        <v>96</v>
      </c>
      <c r="H42" s="15">
        <f t="shared" si="5"/>
        <v>120</v>
      </c>
      <c r="I42" s="16"/>
      <c r="J42" s="16"/>
      <c r="K42" s="17"/>
      <c r="L42" s="18">
        <f t="shared" si="6"/>
        <v>0</v>
      </c>
    </row>
    <row r="43" spans="1:12" ht="24.75" customHeight="1" x14ac:dyDescent="0.2">
      <c r="A43" s="10"/>
      <c r="B43" s="10" t="s">
        <v>110</v>
      </c>
      <c r="C43" s="11">
        <v>12000</v>
      </c>
      <c r="D43" s="12">
        <f t="shared" si="4"/>
        <v>15000</v>
      </c>
      <c r="E43" s="13"/>
      <c r="F43" s="13" t="s">
        <v>111</v>
      </c>
      <c r="G43" s="14">
        <v>800</v>
      </c>
      <c r="H43" s="15">
        <f t="shared" si="5"/>
        <v>1000</v>
      </c>
      <c r="I43" s="16"/>
      <c r="J43" s="16"/>
      <c r="K43" s="17"/>
      <c r="L43" s="18">
        <f t="shared" si="6"/>
        <v>0</v>
      </c>
    </row>
    <row r="44" spans="1:12" ht="24.75" customHeight="1" x14ac:dyDescent="0.2">
      <c r="A44" s="10"/>
      <c r="B44" s="10" t="s">
        <v>112</v>
      </c>
      <c r="C44" s="11">
        <v>4800</v>
      </c>
      <c r="D44" s="12">
        <f t="shared" si="4"/>
        <v>6000</v>
      </c>
      <c r="E44" s="13"/>
      <c r="F44" s="13" t="s">
        <v>113</v>
      </c>
      <c r="G44" s="14">
        <v>160</v>
      </c>
      <c r="H44" s="15">
        <f t="shared" si="5"/>
        <v>200</v>
      </c>
      <c r="I44" s="16"/>
      <c r="J44" s="16"/>
      <c r="K44" s="17"/>
      <c r="L44" s="18">
        <f t="shared" si="6"/>
        <v>0</v>
      </c>
    </row>
    <row r="45" spans="1:12" ht="24.75" customHeight="1" x14ac:dyDescent="0.2">
      <c r="A45" s="10"/>
      <c r="B45" s="10" t="s">
        <v>114</v>
      </c>
      <c r="C45" s="11">
        <v>8000</v>
      </c>
      <c r="D45" s="12">
        <f t="shared" si="4"/>
        <v>10000</v>
      </c>
      <c r="E45" s="13"/>
      <c r="F45" s="13" t="s">
        <v>115</v>
      </c>
      <c r="G45" s="14">
        <v>1200</v>
      </c>
      <c r="H45" s="15">
        <f t="shared" si="5"/>
        <v>1500</v>
      </c>
      <c r="I45" s="16"/>
      <c r="J45" s="16"/>
      <c r="K45" s="17"/>
      <c r="L45" s="18">
        <f t="shared" si="6"/>
        <v>0</v>
      </c>
    </row>
    <row r="46" spans="1:12" ht="24.75" customHeight="1" x14ac:dyDescent="0.2">
      <c r="A46" s="10"/>
      <c r="B46" s="10" t="s">
        <v>116</v>
      </c>
      <c r="C46" s="11">
        <v>3200</v>
      </c>
      <c r="D46" s="12">
        <f t="shared" si="4"/>
        <v>4000</v>
      </c>
      <c r="E46" s="13"/>
      <c r="F46" s="13" t="s">
        <v>117</v>
      </c>
      <c r="G46" s="14">
        <v>1920</v>
      </c>
      <c r="H46" s="15">
        <f t="shared" si="5"/>
        <v>2400</v>
      </c>
      <c r="I46" s="16"/>
      <c r="J46" s="16"/>
      <c r="K46" s="17"/>
      <c r="L46" s="18">
        <f t="shared" si="6"/>
        <v>0</v>
      </c>
    </row>
    <row r="47" spans="1:12" ht="24.75" customHeight="1" x14ac:dyDescent="0.2">
      <c r="A47" s="10"/>
      <c r="B47" s="10" t="s">
        <v>118</v>
      </c>
      <c r="C47" s="11">
        <v>8000</v>
      </c>
      <c r="D47" s="12">
        <f t="shared" si="4"/>
        <v>10000</v>
      </c>
      <c r="E47" s="13"/>
      <c r="F47" s="13" t="s">
        <v>119</v>
      </c>
      <c r="G47" s="14">
        <v>360</v>
      </c>
      <c r="H47" s="15">
        <f t="shared" si="5"/>
        <v>450</v>
      </c>
      <c r="I47" s="16"/>
      <c r="J47" s="16"/>
      <c r="K47" s="17"/>
      <c r="L47" s="18">
        <f t="shared" si="6"/>
        <v>0</v>
      </c>
    </row>
    <row r="48" spans="1:12" ht="24.75" customHeight="1" x14ac:dyDescent="0.2">
      <c r="A48" s="10"/>
      <c r="B48" s="10" t="s">
        <v>120</v>
      </c>
      <c r="C48" s="11">
        <v>800</v>
      </c>
      <c r="D48" s="12">
        <f t="shared" si="4"/>
        <v>1000</v>
      </c>
      <c r="E48" s="13"/>
      <c r="F48" s="13" t="s">
        <v>121</v>
      </c>
      <c r="G48" s="14">
        <v>280</v>
      </c>
      <c r="H48" s="15">
        <f t="shared" si="5"/>
        <v>350</v>
      </c>
      <c r="I48" s="16"/>
      <c r="J48" s="16"/>
      <c r="K48" s="17"/>
      <c r="L48" s="18">
        <f t="shared" si="6"/>
        <v>0</v>
      </c>
    </row>
    <row r="49" spans="1:12" ht="24.75" customHeight="1" x14ac:dyDescent="0.2">
      <c r="A49" s="10"/>
      <c r="B49" s="10" t="s">
        <v>122</v>
      </c>
      <c r="C49" s="11">
        <v>880</v>
      </c>
      <c r="D49" s="12">
        <f t="shared" si="4"/>
        <v>1100</v>
      </c>
      <c r="E49" s="13"/>
      <c r="F49" s="13" t="s">
        <v>123</v>
      </c>
      <c r="G49" s="14">
        <v>2400</v>
      </c>
      <c r="H49" s="15">
        <f t="shared" si="5"/>
        <v>3000</v>
      </c>
      <c r="I49" s="16"/>
      <c r="J49" s="16"/>
      <c r="K49" s="17"/>
      <c r="L49" s="18">
        <f t="shared" si="6"/>
        <v>0</v>
      </c>
    </row>
    <row r="50" spans="1:12" ht="24.75" customHeight="1" x14ac:dyDescent="0.2">
      <c r="A50" s="10"/>
      <c r="B50" s="10" t="s">
        <v>124</v>
      </c>
      <c r="C50" s="11">
        <v>520</v>
      </c>
      <c r="D50" s="12">
        <f t="shared" si="4"/>
        <v>650</v>
      </c>
      <c r="E50" s="13"/>
      <c r="F50" s="13"/>
      <c r="G50" s="14"/>
      <c r="H50" s="15">
        <f t="shared" si="5"/>
        <v>0</v>
      </c>
      <c r="I50" s="16"/>
      <c r="J50" s="16"/>
      <c r="K50" s="17"/>
      <c r="L50" s="18">
        <f t="shared" si="6"/>
        <v>0</v>
      </c>
    </row>
    <row r="51" spans="1:12" ht="24.75" customHeight="1" x14ac:dyDescent="0.2">
      <c r="A51" s="10"/>
      <c r="B51" s="10" t="s">
        <v>125</v>
      </c>
      <c r="C51" s="11">
        <v>800</v>
      </c>
      <c r="D51" s="12">
        <f t="shared" si="4"/>
        <v>1000</v>
      </c>
      <c r="E51" s="13"/>
      <c r="F51" s="13"/>
      <c r="G51" s="14"/>
      <c r="H51" s="15">
        <f t="shared" si="5"/>
        <v>0</v>
      </c>
      <c r="I51" s="16"/>
      <c r="J51" s="16"/>
      <c r="K51" s="17"/>
      <c r="L51" s="18">
        <f t="shared" si="6"/>
        <v>0</v>
      </c>
    </row>
    <row r="52" spans="1:12" ht="24.75" customHeight="1" x14ac:dyDescent="0.2">
      <c r="A52" s="10"/>
      <c r="B52" s="10" t="s">
        <v>126</v>
      </c>
      <c r="C52" s="11">
        <v>800</v>
      </c>
      <c r="D52" s="12">
        <f t="shared" si="4"/>
        <v>1000</v>
      </c>
      <c r="E52" s="13"/>
      <c r="F52" s="13" t="s">
        <v>127</v>
      </c>
      <c r="G52" s="14">
        <v>240</v>
      </c>
      <c r="H52" s="15">
        <f t="shared" si="5"/>
        <v>300</v>
      </c>
      <c r="I52" s="16"/>
      <c r="J52" s="16"/>
      <c r="K52" s="17"/>
      <c r="L52" s="18">
        <f t="shared" si="6"/>
        <v>0</v>
      </c>
    </row>
    <row r="53" spans="1:12" ht="24.75" customHeight="1" x14ac:dyDescent="0.2">
      <c r="A53" s="10"/>
      <c r="B53" s="10" t="s">
        <v>128</v>
      </c>
      <c r="C53" s="11">
        <v>8000</v>
      </c>
      <c r="D53" s="12">
        <f t="shared" si="4"/>
        <v>10000</v>
      </c>
      <c r="E53" s="13"/>
      <c r="F53" s="13"/>
      <c r="G53" s="14"/>
      <c r="H53" s="15">
        <f t="shared" si="5"/>
        <v>0</v>
      </c>
      <c r="I53" s="16"/>
      <c r="J53" s="16"/>
      <c r="K53" s="17"/>
      <c r="L53" s="18">
        <f t="shared" si="6"/>
        <v>0</v>
      </c>
    </row>
    <row r="54" spans="1:12" ht="24.75" customHeight="1" x14ac:dyDescent="0.2">
      <c r="A54" s="10"/>
      <c r="B54" s="10" t="s">
        <v>129</v>
      </c>
      <c r="C54" s="11">
        <v>400</v>
      </c>
      <c r="D54" s="12">
        <f t="shared" si="4"/>
        <v>500</v>
      </c>
      <c r="E54" s="13"/>
      <c r="F54" s="13" t="s">
        <v>130</v>
      </c>
      <c r="G54" s="14">
        <v>160</v>
      </c>
      <c r="H54" s="15">
        <f t="shared" si="5"/>
        <v>200</v>
      </c>
      <c r="I54" s="16"/>
      <c r="J54" s="16"/>
      <c r="K54" s="17"/>
      <c r="L54" s="18">
        <f t="shared" si="6"/>
        <v>0</v>
      </c>
    </row>
    <row r="55" spans="1:12" ht="24.75" customHeight="1" x14ac:dyDescent="0.2">
      <c r="A55" s="10"/>
      <c r="B55" s="10" t="s">
        <v>131</v>
      </c>
      <c r="C55" s="11">
        <v>4000</v>
      </c>
      <c r="D55" s="12">
        <f t="shared" si="4"/>
        <v>5000</v>
      </c>
      <c r="E55" s="13"/>
      <c r="F55" s="13" t="s">
        <v>132</v>
      </c>
      <c r="G55" s="14">
        <v>6400</v>
      </c>
      <c r="H55" s="15">
        <f t="shared" si="5"/>
        <v>8000</v>
      </c>
      <c r="I55" s="16"/>
      <c r="J55" s="16"/>
      <c r="K55" s="17"/>
      <c r="L55" s="18">
        <f t="shared" si="6"/>
        <v>0</v>
      </c>
    </row>
    <row r="56" spans="1:12" ht="24.75" customHeight="1" x14ac:dyDescent="0.2">
      <c r="A56" s="10"/>
      <c r="B56" s="10" t="s">
        <v>133</v>
      </c>
      <c r="C56" s="11">
        <v>200</v>
      </c>
      <c r="D56" s="12">
        <f t="shared" si="4"/>
        <v>250</v>
      </c>
      <c r="E56" s="13"/>
      <c r="F56" s="13"/>
      <c r="G56" s="14"/>
      <c r="H56" s="15">
        <f t="shared" si="5"/>
        <v>0</v>
      </c>
      <c r="I56" s="16"/>
      <c r="J56" s="16"/>
      <c r="K56" s="17"/>
      <c r="L56" s="18">
        <f t="shared" si="6"/>
        <v>0</v>
      </c>
    </row>
    <row r="57" spans="1:12" ht="24.75" customHeight="1" x14ac:dyDescent="0.2">
      <c r="A57" s="10"/>
      <c r="B57" s="10" t="s">
        <v>134</v>
      </c>
      <c r="C57" s="11">
        <v>160</v>
      </c>
      <c r="D57" s="12">
        <f t="shared" si="4"/>
        <v>200</v>
      </c>
      <c r="E57" s="13"/>
      <c r="F57" s="13"/>
      <c r="G57" s="14"/>
      <c r="H57" s="15">
        <f t="shared" si="5"/>
        <v>0</v>
      </c>
      <c r="I57" s="16"/>
      <c r="J57" s="16"/>
      <c r="K57" s="17"/>
      <c r="L57" s="18">
        <f t="shared" si="6"/>
        <v>0</v>
      </c>
    </row>
    <row r="58" spans="1:12" ht="24.75" customHeight="1" x14ac:dyDescent="0.2">
      <c r="A58" s="10"/>
      <c r="B58" s="10" t="s">
        <v>135</v>
      </c>
      <c r="C58" s="11">
        <v>120</v>
      </c>
      <c r="D58" s="12">
        <f t="shared" si="4"/>
        <v>150</v>
      </c>
      <c r="E58" s="13"/>
      <c r="F58" s="13"/>
      <c r="G58" s="14"/>
      <c r="H58" s="15">
        <f t="shared" si="5"/>
        <v>0</v>
      </c>
      <c r="I58" s="16"/>
      <c r="J58" s="16"/>
      <c r="K58" s="17"/>
      <c r="L58" s="18">
        <f t="shared" si="6"/>
        <v>0</v>
      </c>
    </row>
    <row r="59" spans="1:12" ht="24.75" customHeight="1" x14ac:dyDescent="0.2">
      <c r="A59" s="10"/>
      <c r="B59" s="10" t="s">
        <v>136</v>
      </c>
      <c r="C59" s="11">
        <v>4000</v>
      </c>
      <c r="D59" s="12">
        <f t="shared" si="4"/>
        <v>5000</v>
      </c>
      <c r="E59" s="13"/>
      <c r="F59" s="13" t="s">
        <v>137</v>
      </c>
      <c r="G59" s="14">
        <v>4800</v>
      </c>
      <c r="H59" s="15">
        <f t="shared" si="5"/>
        <v>6000</v>
      </c>
      <c r="I59" s="16"/>
      <c r="J59" s="16"/>
      <c r="K59" s="17"/>
      <c r="L59" s="18">
        <f t="shared" si="6"/>
        <v>0</v>
      </c>
    </row>
    <row r="60" spans="1:12" ht="24.75" customHeight="1" x14ac:dyDescent="0.2">
      <c r="A60" s="10"/>
      <c r="B60" s="10" t="s">
        <v>138</v>
      </c>
      <c r="C60" s="11">
        <v>320</v>
      </c>
      <c r="D60" s="12">
        <f t="shared" si="4"/>
        <v>400</v>
      </c>
      <c r="E60" s="13"/>
      <c r="F60" s="13"/>
      <c r="G60" s="14"/>
      <c r="H60" s="15">
        <f t="shared" si="5"/>
        <v>0</v>
      </c>
      <c r="I60" s="16"/>
      <c r="J60" s="16"/>
      <c r="K60" s="17"/>
      <c r="L60" s="18">
        <f t="shared" si="6"/>
        <v>0</v>
      </c>
    </row>
    <row r="61" spans="1:12" ht="24.75" customHeight="1" x14ac:dyDescent="0.2">
      <c r="A61" s="10"/>
      <c r="B61" s="10" t="s">
        <v>139</v>
      </c>
      <c r="C61" s="11">
        <v>2400</v>
      </c>
      <c r="D61" s="12">
        <f t="shared" si="4"/>
        <v>3000</v>
      </c>
      <c r="E61" s="13"/>
      <c r="F61" s="13"/>
      <c r="G61" s="14"/>
      <c r="H61" s="15">
        <f t="shared" si="5"/>
        <v>0</v>
      </c>
      <c r="I61" s="16"/>
      <c r="J61" s="16"/>
      <c r="K61" s="17"/>
      <c r="L61" s="18">
        <f t="shared" si="6"/>
        <v>0</v>
      </c>
    </row>
    <row r="62" spans="1:12" ht="24.75" customHeight="1" x14ac:dyDescent="0.2">
      <c r="A62" s="10"/>
      <c r="B62" s="10" t="s">
        <v>140</v>
      </c>
      <c r="C62" s="11">
        <v>240</v>
      </c>
      <c r="D62" s="12">
        <f t="shared" si="4"/>
        <v>300</v>
      </c>
      <c r="E62" s="13"/>
      <c r="F62" s="13"/>
      <c r="G62" s="14"/>
      <c r="H62" s="15">
        <f t="shared" si="5"/>
        <v>0</v>
      </c>
      <c r="I62" s="16"/>
      <c r="J62" s="16"/>
      <c r="K62" s="17"/>
      <c r="L62" s="18">
        <f t="shared" si="6"/>
        <v>0</v>
      </c>
    </row>
    <row r="63" spans="1:12" ht="24.75" customHeight="1" x14ac:dyDescent="0.2">
      <c r="A63" s="10"/>
      <c r="B63" s="10" t="s">
        <v>141</v>
      </c>
      <c r="C63" s="11">
        <v>640</v>
      </c>
      <c r="D63" s="12">
        <f t="shared" si="4"/>
        <v>800</v>
      </c>
      <c r="E63" s="13"/>
      <c r="F63" s="13"/>
      <c r="G63" s="14"/>
      <c r="H63" s="15">
        <f t="shared" si="5"/>
        <v>0</v>
      </c>
      <c r="I63" s="16"/>
      <c r="J63" s="16"/>
      <c r="K63" s="17"/>
      <c r="L63" s="18">
        <f t="shared" si="6"/>
        <v>0</v>
      </c>
    </row>
    <row r="64" spans="1:12" ht="24.75" customHeight="1" x14ac:dyDescent="0.2">
      <c r="A64" s="10"/>
      <c r="B64" s="10" t="s">
        <v>142</v>
      </c>
      <c r="C64" s="11">
        <v>400</v>
      </c>
      <c r="D64" s="12">
        <f t="shared" si="4"/>
        <v>500</v>
      </c>
      <c r="E64" s="13"/>
      <c r="F64" s="21"/>
      <c r="G64" s="14"/>
      <c r="H64" s="15">
        <f t="shared" si="5"/>
        <v>0</v>
      </c>
      <c r="I64" s="16"/>
      <c r="J64" s="16"/>
      <c r="K64" s="17"/>
      <c r="L64" s="18">
        <f t="shared" si="6"/>
        <v>0</v>
      </c>
    </row>
    <row r="65" spans="1:12" ht="24.75" customHeight="1" x14ac:dyDescent="0.2">
      <c r="A65" s="10"/>
      <c r="B65" s="10" t="s">
        <v>143</v>
      </c>
      <c r="C65" s="11">
        <v>1600</v>
      </c>
      <c r="D65" s="12">
        <f t="shared" si="4"/>
        <v>2000</v>
      </c>
      <c r="E65" s="13"/>
      <c r="F65" s="13" t="s">
        <v>144</v>
      </c>
      <c r="G65" s="14"/>
      <c r="H65" s="15">
        <f t="shared" si="5"/>
        <v>0</v>
      </c>
      <c r="I65" s="16"/>
      <c r="J65" s="16"/>
      <c r="K65" s="17"/>
      <c r="L65" s="18">
        <f t="shared" si="6"/>
        <v>0</v>
      </c>
    </row>
    <row r="66" spans="1:12" ht="24.75" customHeight="1" x14ac:dyDescent="0.2">
      <c r="A66" s="10"/>
      <c r="B66" s="10" t="s">
        <v>145</v>
      </c>
      <c r="C66" s="11">
        <v>480</v>
      </c>
      <c r="D66" s="12">
        <f t="shared" ref="D66:D81" si="7">C66/0.8</f>
        <v>600</v>
      </c>
      <c r="E66" s="13"/>
      <c r="F66" s="13" t="s">
        <v>146</v>
      </c>
      <c r="G66" s="14"/>
      <c r="H66" s="15">
        <f t="shared" ref="H66:H81" si="8">G66/0.8</f>
        <v>0</v>
      </c>
      <c r="I66" s="16"/>
      <c r="J66" s="16"/>
      <c r="K66" s="17"/>
      <c r="L66" s="18">
        <f t="shared" si="6"/>
        <v>0</v>
      </c>
    </row>
    <row r="67" spans="1:12" ht="24.75" customHeight="1" x14ac:dyDescent="0.2">
      <c r="A67" s="10"/>
      <c r="B67" s="10" t="s">
        <v>147</v>
      </c>
      <c r="C67" s="11">
        <v>5600</v>
      </c>
      <c r="D67" s="12">
        <f t="shared" si="7"/>
        <v>7000</v>
      </c>
      <c r="E67" s="13"/>
      <c r="F67" s="13" t="s">
        <v>148</v>
      </c>
      <c r="G67" s="14"/>
      <c r="H67" s="15">
        <f t="shared" si="8"/>
        <v>0</v>
      </c>
      <c r="I67" s="16"/>
      <c r="J67" s="16"/>
      <c r="K67" s="17"/>
      <c r="L67" s="18">
        <f t="shared" si="6"/>
        <v>0</v>
      </c>
    </row>
    <row r="68" spans="1:12" ht="24.75" customHeight="1" x14ac:dyDescent="0.2">
      <c r="A68" s="10"/>
      <c r="B68" s="10" t="s">
        <v>149</v>
      </c>
      <c r="C68" s="11">
        <v>8000</v>
      </c>
      <c r="D68" s="12">
        <f t="shared" si="7"/>
        <v>10000</v>
      </c>
      <c r="E68" s="13"/>
      <c r="F68" s="13" t="s">
        <v>150</v>
      </c>
      <c r="G68" s="14">
        <v>480</v>
      </c>
      <c r="H68" s="15">
        <f t="shared" si="8"/>
        <v>600</v>
      </c>
      <c r="I68" s="16"/>
      <c r="J68" s="16"/>
      <c r="K68" s="17"/>
      <c r="L68" s="18">
        <f t="shared" si="6"/>
        <v>0</v>
      </c>
    </row>
    <row r="69" spans="1:12" ht="24.75" customHeight="1" x14ac:dyDescent="0.2">
      <c r="A69" s="10"/>
      <c r="B69" s="10" t="s">
        <v>151</v>
      </c>
      <c r="C69" s="11">
        <v>3600</v>
      </c>
      <c r="D69" s="12">
        <f t="shared" si="7"/>
        <v>4500</v>
      </c>
      <c r="E69" s="13"/>
      <c r="F69" s="13" t="s">
        <v>152</v>
      </c>
      <c r="G69" s="14">
        <v>480</v>
      </c>
      <c r="H69" s="15">
        <f t="shared" si="8"/>
        <v>600</v>
      </c>
      <c r="I69" s="16"/>
      <c r="J69" s="16"/>
      <c r="K69" s="17"/>
      <c r="L69" s="18">
        <f t="shared" si="6"/>
        <v>0</v>
      </c>
    </row>
    <row r="70" spans="1:12" ht="24.75" customHeight="1" x14ac:dyDescent="0.2">
      <c r="A70" s="10"/>
      <c r="B70" s="10" t="s">
        <v>153</v>
      </c>
      <c r="C70" s="11">
        <v>4800</v>
      </c>
      <c r="D70" s="12">
        <f t="shared" si="7"/>
        <v>6000</v>
      </c>
      <c r="E70" s="13"/>
      <c r="F70" s="13" t="s">
        <v>154</v>
      </c>
      <c r="G70" s="14"/>
      <c r="H70" s="15">
        <f t="shared" si="8"/>
        <v>0</v>
      </c>
      <c r="I70" s="16"/>
      <c r="J70" s="16"/>
      <c r="K70" s="17"/>
      <c r="L70" s="18">
        <f t="shared" si="6"/>
        <v>0</v>
      </c>
    </row>
    <row r="71" spans="1:12" ht="24.75" customHeight="1" x14ac:dyDescent="0.2">
      <c r="A71" s="10"/>
      <c r="B71" s="10" t="s">
        <v>155</v>
      </c>
      <c r="C71" s="11">
        <v>3200</v>
      </c>
      <c r="D71" s="12">
        <f t="shared" si="7"/>
        <v>4000</v>
      </c>
      <c r="E71" s="13"/>
      <c r="F71" s="13" t="s">
        <v>156</v>
      </c>
      <c r="G71" s="14">
        <v>800</v>
      </c>
      <c r="H71" s="15">
        <f t="shared" si="8"/>
        <v>1000</v>
      </c>
      <c r="I71" s="16"/>
      <c r="J71" s="16"/>
      <c r="K71" s="17"/>
      <c r="L71" s="18">
        <f t="shared" si="6"/>
        <v>0</v>
      </c>
    </row>
    <row r="72" spans="1:12" ht="24.75" customHeight="1" x14ac:dyDescent="0.2">
      <c r="A72" s="10"/>
      <c r="B72" s="10" t="s">
        <v>157</v>
      </c>
      <c r="C72" s="11">
        <v>2400</v>
      </c>
      <c r="D72" s="12">
        <f t="shared" si="7"/>
        <v>3000</v>
      </c>
      <c r="E72" s="13"/>
      <c r="F72" s="13" t="s">
        <v>158</v>
      </c>
      <c r="G72" s="14">
        <v>160</v>
      </c>
      <c r="H72" s="15">
        <f t="shared" si="8"/>
        <v>200</v>
      </c>
      <c r="I72" s="16"/>
      <c r="J72" s="16"/>
      <c r="K72" s="17"/>
      <c r="L72" s="18">
        <f t="shared" si="6"/>
        <v>0</v>
      </c>
    </row>
    <row r="73" spans="1:12" ht="24.75" customHeight="1" x14ac:dyDescent="0.2">
      <c r="A73" s="10"/>
      <c r="B73" s="10" t="s">
        <v>159</v>
      </c>
      <c r="C73" s="11">
        <v>9600</v>
      </c>
      <c r="D73" s="12">
        <f t="shared" si="7"/>
        <v>12000</v>
      </c>
      <c r="E73" s="13"/>
      <c r="F73" s="13" t="s">
        <v>160</v>
      </c>
      <c r="G73" s="14">
        <v>48</v>
      </c>
      <c r="H73" s="15">
        <f t="shared" si="8"/>
        <v>60</v>
      </c>
      <c r="I73" s="16"/>
      <c r="J73" s="16"/>
      <c r="K73" s="17"/>
      <c r="L73" s="18">
        <f t="shared" si="6"/>
        <v>0</v>
      </c>
    </row>
    <row r="74" spans="1:12" ht="24.75" customHeight="1" x14ac:dyDescent="0.2">
      <c r="A74" s="10"/>
      <c r="B74" s="10" t="s">
        <v>161</v>
      </c>
      <c r="C74" s="11">
        <v>6400</v>
      </c>
      <c r="D74" s="12">
        <f t="shared" si="7"/>
        <v>8000</v>
      </c>
      <c r="E74" s="13"/>
      <c r="F74" s="13" t="s">
        <v>162</v>
      </c>
      <c r="G74" s="14">
        <v>104</v>
      </c>
      <c r="H74" s="15">
        <f t="shared" si="8"/>
        <v>130</v>
      </c>
      <c r="I74" s="16"/>
      <c r="J74" s="16"/>
      <c r="K74" s="17"/>
      <c r="L74" s="18">
        <f t="shared" si="6"/>
        <v>0</v>
      </c>
    </row>
    <row r="75" spans="1:12" ht="24.75" customHeight="1" x14ac:dyDescent="0.2">
      <c r="A75" s="10"/>
      <c r="B75" s="10" t="s">
        <v>163</v>
      </c>
      <c r="C75" s="11">
        <v>12000</v>
      </c>
      <c r="D75" s="12">
        <f t="shared" si="7"/>
        <v>15000</v>
      </c>
      <c r="E75" s="13"/>
      <c r="F75" s="13" t="s">
        <v>164</v>
      </c>
      <c r="G75" s="14"/>
      <c r="H75" s="15">
        <f t="shared" si="8"/>
        <v>0</v>
      </c>
      <c r="I75" s="16"/>
      <c r="J75" s="16"/>
      <c r="K75" s="17"/>
      <c r="L75" s="18">
        <f t="shared" si="6"/>
        <v>0</v>
      </c>
    </row>
    <row r="76" spans="1:12" ht="24.75" customHeight="1" x14ac:dyDescent="0.2">
      <c r="A76" s="10"/>
      <c r="B76" s="10" t="s">
        <v>165</v>
      </c>
      <c r="C76" s="11">
        <v>10400</v>
      </c>
      <c r="D76" s="12">
        <f t="shared" si="7"/>
        <v>13000</v>
      </c>
      <c r="E76" s="13"/>
      <c r="F76" s="13" t="s">
        <v>166</v>
      </c>
      <c r="G76" s="14">
        <v>200</v>
      </c>
      <c r="H76" s="15">
        <f t="shared" si="8"/>
        <v>250</v>
      </c>
      <c r="I76" s="16"/>
      <c r="J76" s="16"/>
      <c r="K76" s="17"/>
      <c r="L76" s="18">
        <f t="shared" si="6"/>
        <v>0</v>
      </c>
    </row>
    <row r="77" spans="1:12" ht="24.75" customHeight="1" x14ac:dyDescent="0.2">
      <c r="A77" s="10"/>
      <c r="B77" s="10" t="s">
        <v>167</v>
      </c>
      <c r="C77" s="11">
        <v>1200</v>
      </c>
      <c r="D77" s="12">
        <f t="shared" si="7"/>
        <v>1500</v>
      </c>
      <c r="E77" s="13"/>
      <c r="F77" s="13" t="s">
        <v>168</v>
      </c>
      <c r="G77" s="14">
        <v>200</v>
      </c>
      <c r="H77" s="15">
        <f t="shared" si="8"/>
        <v>250</v>
      </c>
      <c r="I77" s="16"/>
      <c r="J77" s="16"/>
      <c r="K77" s="17"/>
      <c r="L77" s="18">
        <f t="shared" si="6"/>
        <v>0</v>
      </c>
    </row>
    <row r="78" spans="1:12" ht="24.75" customHeight="1" x14ac:dyDescent="0.2">
      <c r="A78" s="10"/>
      <c r="B78" s="10" t="s">
        <v>169</v>
      </c>
      <c r="C78" s="11">
        <v>2000</v>
      </c>
      <c r="D78" s="12">
        <f t="shared" si="7"/>
        <v>2500</v>
      </c>
      <c r="E78" s="13"/>
      <c r="F78" s="13" t="s">
        <v>170</v>
      </c>
      <c r="G78" s="14">
        <v>240</v>
      </c>
      <c r="H78" s="15">
        <f t="shared" si="8"/>
        <v>300</v>
      </c>
      <c r="I78" s="16"/>
      <c r="J78" s="16"/>
      <c r="K78" s="17"/>
      <c r="L78" s="18">
        <f t="shared" si="6"/>
        <v>0</v>
      </c>
    </row>
    <row r="79" spans="1:12" ht="24.75" customHeight="1" x14ac:dyDescent="0.2">
      <c r="A79" s="10"/>
      <c r="B79" s="10" t="s">
        <v>171</v>
      </c>
      <c r="C79" s="11">
        <v>7200</v>
      </c>
      <c r="D79" s="12">
        <f t="shared" si="7"/>
        <v>9000</v>
      </c>
      <c r="E79" s="13"/>
      <c r="F79" s="13" t="s">
        <v>172</v>
      </c>
      <c r="G79" s="14">
        <v>480</v>
      </c>
      <c r="H79" s="15">
        <f t="shared" si="8"/>
        <v>600</v>
      </c>
      <c r="I79" s="16"/>
      <c r="J79" s="16"/>
      <c r="K79" s="17"/>
      <c r="L79" s="18">
        <f t="shared" si="6"/>
        <v>0</v>
      </c>
    </row>
    <row r="80" spans="1:12" ht="24.75" customHeight="1" x14ac:dyDescent="0.2">
      <c r="A80" s="10"/>
      <c r="B80" s="10" t="s">
        <v>173</v>
      </c>
      <c r="C80" s="11">
        <v>12000</v>
      </c>
      <c r="D80" s="12">
        <f t="shared" si="7"/>
        <v>15000</v>
      </c>
      <c r="E80" s="13"/>
      <c r="F80" s="13" t="s">
        <v>174</v>
      </c>
      <c r="G80" s="14">
        <v>6400</v>
      </c>
      <c r="H80" s="15">
        <f t="shared" si="8"/>
        <v>8000</v>
      </c>
      <c r="I80" s="16"/>
      <c r="J80" s="16"/>
      <c r="K80" s="17"/>
      <c r="L80" s="18">
        <f t="shared" si="6"/>
        <v>0</v>
      </c>
    </row>
    <row r="81" spans="1:12" ht="24.75" customHeight="1" x14ac:dyDescent="0.2">
      <c r="A81" s="10"/>
      <c r="B81" s="10" t="s">
        <v>175</v>
      </c>
      <c r="C81" s="11">
        <v>12000</v>
      </c>
      <c r="D81" s="12">
        <f t="shared" si="7"/>
        <v>15000</v>
      </c>
      <c r="E81" s="13"/>
      <c r="F81" s="13" t="s">
        <v>176</v>
      </c>
      <c r="G81" s="14">
        <v>6400</v>
      </c>
      <c r="H81" s="15">
        <f t="shared" si="8"/>
        <v>8000</v>
      </c>
      <c r="I81" s="16"/>
      <c r="J81" s="16"/>
      <c r="K81" s="17"/>
      <c r="L81" s="18">
        <f t="shared" si="6"/>
        <v>0</v>
      </c>
    </row>
    <row r="82" spans="1:12" ht="24.75" customHeight="1" x14ac:dyDescent="0.2">
      <c r="A82" s="22"/>
      <c r="B82" s="22" t="s">
        <v>177</v>
      </c>
      <c r="C82" s="11"/>
      <c r="D82" s="12"/>
      <c r="E82" s="13"/>
      <c r="F82" s="13" t="s">
        <v>177</v>
      </c>
      <c r="G82" s="14"/>
      <c r="H82" s="15"/>
      <c r="I82" s="16"/>
      <c r="J82" s="16"/>
      <c r="K82" s="17"/>
      <c r="L82" s="19"/>
    </row>
    <row r="83" spans="1:12" ht="24.75" customHeight="1" x14ac:dyDescent="0.2">
      <c r="A83" s="10"/>
      <c r="B83" s="10"/>
      <c r="C83" s="11"/>
      <c r="D83" s="12"/>
      <c r="E83" s="13"/>
      <c r="F83" s="13"/>
      <c r="G83" s="14"/>
      <c r="H83" s="15"/>
      <c r="I83" s="16"/>
      <c r="J83" s="16"/>
      <c r="K83" s="17"/>
      <c r="L83" s="19"/>
    </row>
    <row r="84" spans="1:12" ht="24.75" customHeight="1" x14ac:dyDescent="0.2">
      <c r="A84" s="10"/>
      <c r="B84" s="10"/>
      <c r="C84" s="11"/>
      <c r="D84" s="12"/>
      <c r="E84" s="13"/>
      <c r="F84" s="13"/>
      <c r="G84" s="14"/>
      <c r="H84" s="15"/>
      <c r="I84" s="16"/>
      <c r="J84" s="16"/>
      <c r="K84" s="17"/>
      <c r="L84" s="19"/>
    </row>
    <row r="85" spans="1:12" ht="24.75" customHeight="1" x14ac:dyDescent="0.2">
      <c r="A85" s="10"/>
      <c r="B85" s="10"/>
      <c r="C85" s="11"/>
      <c r="D85" s="12"/>
      <c r="E85" s="13"/>
      <c r="F85" s="13"/>
      <c r="G85" s="14"/>
      <c r="H85" s="15"/>
      <c r="I85" s="16"/>
      <c r="J85" s="16"/>
      <c r="K85" s="17"/>
      <c r="L85" s="19"/>
    </row>
    <row r="86" spans="1:12" ht="24.75" customHeight="1" x14ac:dyDescent="0.2">
      <c r="A86" s="10"/>
      <c r="B86" s="10"/>
      <c r="C86" s="11"/>
      <c r="D86" s="12"/>
      <c r="E86" s="13"/>
      <c r="F86" s="13"/>
      <c r="G86" s="14"/>
      <c r="H86" s="15"/>
      <c r="I86" s="16"/>
      <c r="J86" s="16"/>
      <c r="K86" s="17"/>
      <c r="L86" s="19"/>
    </row>
    <row r="87" spans="1:12" ht="24.75" customHeight="1" x14ac:dyDescent="0.2">
      <c r="A87" s="10"/>
      <c r="B87" s="10"/>
      <c r="C87" s="11"/>
      <c r="D87" s="12"/>
      <c r="E87" s="13"/>
      <c r="F87" s="13"/>
      <c r="G87" s="14"/>
      <c r="H87" s="23"/>
      <c r="I87" s="16"/>
      <c r="J87" s="16"/>
      <c r="K87" s="17"/>
      <c r="L87" s="19"/>
    </row>
    <row r="88" spans="1:12" ht="24.75" customHeight="1" x14ac:dyDescent="0.2">
      <c r="A88" s="10"/>
      <c r="B88" s="10"/>
      <c r="C88" s="11"/>
      <c r="D88" s="12"/>
      <c r="E88" s="13"/>
      <c r="F88" s="13"/>
      <c r="G88" s="14"/>
      <c r="H88" s="23"/>
      <c r="I88" s="16"/>
      <c r="J88" s="16"/>
      <c r="K88" s="17"/>
      <c r="L88" s="19"/>
    </row>
    <row r="89" spans="1:12" ht="24.75" customHeight="1" x14ac:dyDescent="0.2">
      <c r="A89" s="10"/>
      <c r="B89" s="10"/>
      <c r="C89" s="11"/>
      <c r="D89" s="12"/>
      <c r="E89" s="13"/>
      <c r="F89" s="13"/>
      <c r="G89" s="14"/>
      <c r="H89" s="23"/>
      <c r="I89" s="16"/>
      <c r="J89" s="16"/>
      <c r="K89" s="17"/>
      <c r="L89" s="19"/>
    </row>
    <row r="90" spans="1:12" ht="24.75" customHeight="1" x14ac:dyDescent="0.2">
      <c r="A90" s="10"/>
      <c r="B90" s="10"/>
      <c r="C90" s="11"/>
      <c r="D90" s="12"/>
      <c r="E90" s="13"/>
      <c r="F90" s="13"/>
      <c r="G90" s="14"/>
      <c r="H90" s="23"/>
      <c r="I90" s="16"/>
      <c r="J90" s="16"/>
      <c r="K90" s="17"/>
      <c r="L90" s="19"/>
    </row>
    <row r="91" spans="1:12" ht="24.75" customHeight="1" x14ac:dyDescent="0.2">
      <c r="A91" s="10"/>
      <c r="B91" s="10"/>
      <c r="C91" s="11"/>
      <c r="D91" s="12"/>
      <c r="E91" s="13"/>
      <c r="F91" s="13"/>
      <c r="G91" s="14"/>
      <c r="H91" s="23"/>
      <c r="I91" s="16"/>
      <c r="J91" s="16"/>
      <c r="K91" s="17"/>
      <c r="L91" s="19"/>
    </row>
    <row r="92" spans="1:12" ht="24.75" customHeight="1" x14ac:dyDescent="0.2">
      <c r="A92" s="10"/>
      <c r="B92" s="10"/>
      <c r="C92" s="11"/>
      <c r="D92" s="12"/>
      <c r="E92" s="13"/>
      <c r="F92" s="13"/>
      <c r="G92" s="14"/>
      <c r="H92" s="23"/>
      <c r="I92" s="16"/>
      <c r="J92" s="16"/>
      <c r="K92" s="17"/>
      <c r="L92" s="19"/>
    </row>
    <row r="93" spans="1:12" ht="24.75" customHeight="1" x14ac:dyDescent="0.2">
      <c r="A93" s="10"/>
      <c r="B93" s="10"/>
      <c r="C93" s="11"/>
      <c r="D93" s="12"/>
      <c r="E93" s="13"/>
      <c r="F93" s="13"/>
      <c r="G93" s="14"/>
      <c r="H93" s="23"/>
      <c r="I93" s="16"/>
      <c r="J93" s="16"/>
      <c r="K93" s="17"/>
      <c r="L93" s="19"/>
    </row>
    <row r="94" spans="1:12" ht="24.75" customHeight="1" x14ac:dyDescent="0.2">
      <c r="A94" s="10"/>
      <c r="B94" s="10"/>
      <c r="C94" s="11"/>
      <c r="D94" s="12"/>
      <c r="E94" s="13"/>
      <c r="F94" s="13"/>
      <c r="G94" s="14"/>
      <c r="H94" s="23"/>
      <c r="I94" s="16"/>
      <c r="J94" s="16"/>
      <c r="K94" s="17"/>
      <c r="L94" s="19"/>
    </row>
    <row r="95" spans="1:12" ht="24.75" customHeight="1" x14ac:dyDescent="0.2">
      <c r="A95" s="10"/>
      <c r="B95" s="10"/>
      <c r="C95" s="11"/>
      <c r="D95" s="12"/>
      <c r="E95" s="13"/>
      <c r="F95" s="13"/>
      <c r="G95" s="14"/>
      <c r="H95" s="23"/>
      <c r="I95" s="16"/>
      <c r="J95" s="16"/>
      <c r="K95" s="17"/>
      <c r="L95" s="19"/>
    </row>
    <row r="96" spans="1:12" ht="24.75" customHeight="1" x14ac:dyDescent="0.2">
      <c r="A96" s="10"/>
      <c r="B96" s="10"/>
      <c r="C96" s="11"/>
      <c r="D96" s="12"/>
      <c r="E96" s="13"/>
      <c r="F96" s="13"/>
      <c r="G96" s="14"/>
      <c r="H96" s="23"/>
      <c r="I96" s="16"/>
      <c r="J96" s="16"/>
      <c r="K96" s="17"/>
      <c r="L96" s="19"/>
    </row>
    <row r="97" spans="1:12" ht="24.75" customHeight="1" x14ac:dyDescent="0.2">
      <c r="A97" s="10"/>
      <c r="B97" s="10"/>
      <c r="C97" s="11"/>
      <c r="D97" s="12"/>
      <c r="E97" s="13"/>
      <c r="F97" s="13"/>
      <c r="G97" s="14"/>
      <c r="H97" s="23"/>
      <c r="I97" s="16"/>
      <c r="J97" s="16"/>
      <c r="K97" s="17"/>
      <c r="L97" s="19"/>
    </row>
    <row r="98" spans="1:12" ht="24.75" customHeight="1" x14ac:dyDescent="0.2">
      <c r="A98" s="10"/>
      <c r="B98" s="10"/>
      <c r="C98" s="11"/>
      <c r="D98" s="12"/>
      <c r="E98" s="13"/>
      <c r="F98" s="13"/>
      <c r="G98" s="14"/>
      <c r="H98" s="23"/>
      <c r="I98" s="16"/>
      <c r="J98" s="16"/>
      <c r="K98" s="17"/>
      <c r="L98" s="19"/>
    </row>
    <row r="99" spans="1:12" ht="24.75" customHeight="1" x14ac:dyDescent="0.2">
      <c r="A99" s="10"/>
      <c r="B99" s="10"/>
      <c r="C99" s="11"/>
      <c r="D99" s="12"/>
      <c r="E99" s="13"/>
      <c r="F99" s="13"/>
      <c r="G99" s="14"/>
      <c r="H99" s="23"/>
      <c r="I99" s="16"/>
      <c r="J99" s="16"/>
      <c r="K99" s="17"/>
      <c r="L99" s="19"/>
    </row>
    <row r="100" spans="1:12" ht="24.75" customHeight="1" x14ac:dyDescent="0.2">
      <c r="A100" s="10"/>
      <c r="B100" s="10"/>
      <c r="C100" s="11"/>
      <c r="D100" s="12"/>
      <c r="E100" s="13"/>
      <c r="F100" s="13"/>
      <c r="G100" s="14"/>
      <c r="H100" s="23"/>
      <c r="I100" s="16"/>
      <c r="J100" s="16"/>
      <c r="K100" s="17"/>
      <c r="L100" s="19"/>
    </row>
  </sheetData>
  <phoneticPr fontId="24" type="noConversion"/>
  <pageMargins left="0.74805555555555558" right="0.74805555555555558" top="1.3776388888888889" bottom="1.3776388888888889" header="0.98388888888888892" footer="0.98388888888888892"/>
  <pageSetup paperSize="0" fitToWidth="0" fitToHeight="0" orientation="portrait" horizontalDpi="0" verticalDpi="0" copies="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U155"/>
  <sheetViews>
    <sheetView workbookViewId="0">
      <selection activeCell="H2" sqref="H2"/>
    </sheetView>
  </sheetViews>
  <sheetFormatPr defaultRowHeight="15.75" customHeight="1" x14ac:dyDescent="0.2"/>
  <cols>
    <col min="1" max="1" width="7.44140625" customWidth="1"/>
    <col min="2" max="2" width="16.21875" bestFit="1" customWidth="1"/>
    <col min="3" max="4" width="5.77734375" bestFit="1" customWidth="1"/>
    <col min="5" max="5" width="9.109375" bestFit="1" customWidth="1"/>
    <col min="6" max="6" width="8" bestFit="1" customWidth="1"/>
    <col min="7" max="7" width="6.33203125" bestFit="1" customWidth="1"/>
    <col min="8" max="16" width="3.88671875" bestFit="1" customWidth="1"/>
    <col min="17" max="19" width="4.77734375" bestFit="1" customWidth="1"/>
    <col min="20" max="20" width="14.88671875" bestFit="1" customWidth="1"/>
    <col min="21" max="21" width="32" customWidth="1"/>
    <col min="22" max="1024" width="11.88671875" customWidth="1"/>
  </cols>
  <sheetData>
    <row r="1" spans="1:21" ht="17.25" customHeight="1" x14ac:dyDescent="0.2">
      <c r="A1" s="24"/>
      <c r="B1" s="24" t="s">
        <v>0</v>
      </c>
      <c r="C1" s="25" t="s">
        <v>1</v>
      </c>
      <c r="D1" s="26" t="s">
        <v>2</v>
      </c>
      <c r="E1" s="27" t="s">
        <v>178</v>
      </c>
      <c r="F1" s="28" t="s">
        <v>179</v>
      </c>
      <c r="G1" s="62" t="s">
        <v>341</v>
      </c>
      <c r="H1" s="29">
        <v>1</v>
      </c>
      <c r="I1" s="29">
        <v>2</v>
      </c>
      <c r="J1" s="29">
        <v>3</v>
      </c>
      <c r="K1" s="29">
        <v>4</v>
      </c>
      <c r="L1" s="29">
        <v>5</v>
      </c>
      <c r="M1" s="29">
        <v>6</v>
      </c>
      <c r="N1" s="29">
        <v>7</v>
      </c>
      <c r="O1" s="29">
        <v>8</v>
      </c>
      <c r="P1" s="29">
        <v>9</v>
      </c>
      <c r="Q1" s="29">
        <v>10</v>
      </c>
      <c r="R1" s="29">
        <v>11</v>
      </c>
      <c r="S1" s="29">
        <v>12</v>
      </c>
      <c r="T1" s="30" t="s">
        <v>342</v>
      </c>
      <c r="U1" s="31"/>
    </row>
    <row r="2" spans="1:21" ht="17.25" customHeight="1" x14ac:dyDescent="0.2">
      <c r="A2" s="64"/>
      <c r="B2" s="72" t="s">
        <v>343</v>
      </c>
      <c r="C2" s="63">
        <v>720</v>
      </c>
      <c r="D2" s="74">
        <f>C2/0.8</f>
        <v>900</v>
      </c>
      <c r="E2" s="75" t="s">
        <v>182</v>
      </c>
      <c r="F2" s="76" t="s">
        <v>183</v>
      </c>
      <c r="G2" s="32" t="s">
        <v>184</v>
      </c>
      <c r="H2" s="33" t="s">
        <v>185</v>
      </c>
      <c r="I2" s="33" t="s">
        <v>186</v>
      </c>
      <c r="J2" s="33" t="s">
        <v>187</v>
      </c>
      <c r="K2" s="34" t="s">
        <v>188</v>
      </c>
      <c r="L2" s="34" t="s">
        <v>189</v>
      </c>
      <c r="M2" s="34" t="s">
        <v>190</v>
      </c>
      <c r="N2" s="34" t="s">
        <v>191</v>
      </c>
      <c r="O2" s="34" t="s">
        <v>192</v>
      </c>
      <c r="P2" s="34" t="s">
        <v>193</v>
      </c>
      <c r="Q2" s="34" t="s">
        <v>194</v>
      </c>
      <c r="R2" s="33" t="s">
        <v>195</v>
      </c>
      <c r="S2" s="33" t="s">
        <v>196</v>
      </c>
      <c r="T2" s="63" t="s">
        <v>197</v>
      </c>
      <c r="U2" s="64"/>
    </row>
    <row r="3" spans="1:21" ht="17.25" customHeight="1" x14ac:dyDescent="0.2">
      <c r="A3" s="64"/>
      <c r="B3" s="73"/>
      <c r="C3" s="63"/>
      <c r="D3" s="74"/>
      <c r="E3" s="75"/>
      <c r="F3" s="76"/>
      <c r="G3" s="35" t="s">
        <v>198</v>
      </c>
      <c r="H3" s="34" t="s">
        <v>185</v>
      </c>
      <c r="I3" s="34" t="s">
        <v>186</v>
      </c>
      <c r="J3" s="34" t="s">
        <v>187</v>
      </c>
      <c r="K3" s="34" t="s">
        <v>188</v>
      </c>
      <c r="L3" s="36" t="s">
        <v>189</v>
      </c>
      <c r="M3" s="36" t="s">
        <v>190</v>
      </c>
      <c r="N3" s="36" t="s">
        <v>191</v>
      </c>
      <c r="O3" s="36" t="s">
        <v>192</v>
      </c>
      <c r="P3" s="36" t="s">
        <v>193</v>
      </c>
      <c r="Q3" s="34" t="s">
        <v>194</v>
      </c>
      <c r="R3" s="34" t="s">
        <v>195</v>
      </c>
      <c r="S3" s="34" t="s">
        <v>196</v>
      </c>
      <c r="T3" s="63"/>
      <c r="U3" s="64"/>
    </row>
    <row r="4" spans="1:21" ht="17.25" customHeight="1" x14ac:dyDescent="0.2">
      <c r="A4" s="65"/>
      <c r="B4" s="66" t="s">
        <v>344</v>
      </c>
      <c r="C4" s="68">
        <v>160</v>
      </c>
      <c r="D4" s="69">
        <f>C4/0.8</f>
        <v>200</v>
      </c>
      <c r="E4" s="70" t="s">
        <v>182</v>
      </c>
      <c r="F4" s="71" t="s">
        <v>183</v>
      </c>
      <c r="G4" s="37" t="s">
        <v>184</v>
      </c>
      <c r="H4" s="38" t="s">
        <v>185</v>
      </c>
      <c r="I4" s="38" t="s">
        <v>186</v>
      </c>
      <c r="J4" s="38" t="s">
        <v>187</v>
      </c>
      <c r="K4" s="38" t="s">
        <v>188</v>
      </c>
      <c r="L4" s="38" t="s">
        <v>189</v>
      </c>
      <c r="M4" s="38" t="s">
        <v>190</v>
      </c>
      <c r="N4" s="38" t="s">
        <v>191</v>
      </c>
      <c r="O4" s="38" t="s">
        <v>192</v>
      </c>
      <c r="P4" s="38" t="s">
        <v>193</v>
      </c>
      <c r="Q4" s="38" t="s">
        <v>194</v>
      </c>
      <c r="R4" s="38" t="s">
        <v>195</v>
      </c>
      <c r="S4" s="38" t="s">
        <v>196</v>
      </c>
      <c r="T4" s="68" t="s">
        <v>199</v>
      </c>
      <c r="U4" s="65"/>
    </row>
    <row r="5" spans="1:21" ht="17.25" customHeight="1" x14ac:dyDescent="0.2">
      <c r="A5" s="65"/>
      <c r="B5" s="67"/>
      <c r="C5" s="68"/>
      <c r="D5" s="69"/>
      <c r="E5" s="70"/>
      <c r="F5" s="71"/>
      <c r="G5" s="39" t="s">
        <v>198</v>
      </c>
      <c r="H5" s="40" t="s">
        <v>185</v>
      </c>
      <c r="I5" s="40" t="s">
        <v>186</v>
      </c>
      <c r="J5" s="40" t="s">
        <v>187</v>
      </c>
      <c r="K5" s="40" t="s">
        <v>188</v>
      </c>
      <c r="L5" s="40" t="s">
        <v>189</v>
      </c>
      <c r="M5" s="40" t="s">
        <v>190</v>
      </c>
      <c r="N5" s="40" t="s">
        <v>191</v>
      </c>
      <c r="O5" s="40" t="s">
        <v>192</v>
      </c>
      <c r="P5" s="40" t="s">
        <v>193</v>
      </c>
      <c r="Q5" s="40" t="s">
        <v>194</v>
      </c>
      <c r="R5" s="40" t="s">
        <v>195</v>
      </c>
      <c r="S5" s="40" t="s">
        <v>196</v>
      </c>
      <c r="T5" s="68"/>
      <c r="U5" s="65"/>
    </row>
    <row r="6" spans="1:21" ht="17.25" customHeight="1" x14ac:dyDescent="0.2">
      <c r="A6" s="64"/>
      <c r="B6" s="72" t="s">
        <v>345</v>
      </c>
      <c r="C6" s="63">
        <v>128</v>
      </c>
      <c r="D6" s="74">
        <f>C6/0.8</f>
        <v>160</v>
      </c>
      <c r="E6" s="75" t="s">
        <v>182</v>
      </c>
      <c r="F6" s="76" t="s">
        <v>200</v>
      </c>
      <c r="G6" s="32" t="s">
        <v>184</v>
      </c>
      <c r="H6" s="33" t="s">
        <v>185</v>
      </c>
      <c r="I6" s="33" t="s">
        <v>186</v>
      </c>
      <c r="J6" s="33" t="s">
        <v>187</v>
      </c>
      <c r="K6" s="33" t="s">
        <v>188</v>
      </c>
      <c r="L6" s="33" t="s">
        <v>189</v>
      </c>
      <c r="M6" s="33" t="s">
        <v>190</v>
      </c>
      <c r="N6" s="33" t="s">
        <v>191</v>
      </c>
      <c r="O6" s="33" t="s">
        <v>192</v>
      </c>
      <c r="P6" s="33" t="s">
        <v>193</v>
      </c>
      <c r="Q6" s="33" t="s">
        <v>194</v>
      </c>
      <c r="R6" s="33" t="s">
        <v>195</v>
      </c>
      <c r="S6" s="33" t="s">
        <v>196</v>
      </c>
      <c r="T6" s="63" t="s">
        <v>197</v>
      </c>
      <c r="U6" s="64"/>
    </row>
    <row r="7" spans="1:21" ht="17.25" customHeight="1" x14ac:dyDescent="0.2">
      <c r="A7" s="64"/>
      <c r="B7" s="73"/>
      <c r="C7" s="63"/>
      <c r="D7" s="74"/>
      <c r="E7" s="75"/>
      <c r="F7" s="76"/>
      <c r="G7" s="35" t="s">
        <v>198</v>
      </c>
      <c r="H7" s="36" t="s">
        <v>185</v>
      </c>
      <c r="I7" s="36" t="s">
        <v>186</v>
      </c>
      <c r="J7" s="36" t="s">
        <v>187</v>
      </c>
      <c r="K7" s="36" t="s">
        <v>188</v>
      </c>
      <c r="L7" s="36" t="s">
        <v>189</v>
      </c>
      <c r="M7" s="36" t="s">
        <v>190</v>
      </c>
      <c r="N7" s="36" t="s">
        <v>191</v>
      </c>
      <c r="O7" s="36" t="s">
        <v>192</v>
      </c>
      <c r="P7" s="36" t="s">
        <v>193</v>
      </c>
      <c r="Q7" s="36" t="s">
        <v>194</v>
      </c>
      <c r="R7" s="36" t="s">
        <v>195</v>
      </c>
      <c r="S7" s="36" t="s">
        <v>196</v>
      </c>
      <c r="T7" s="63"/>
      <c r="U7" s="64"/>
    </row>
    <row r="8" spans="1:21" ht="17.25" customHeight="1" x14ac:dyDescent="0.2">
      <c r="A8" s="65"/>
      <c r="B8" s="66" t="s">
        <v>346</v>
      </c>
      <c r="C8" s="68">
        <v>192</v>
      </c>
      <c r="D8" s="69">
        <f>C8/0.8</f>
        <v>240</v>
      </c>
      <c r="E8" s="70" t="s">
        <v>182</v>
      </c>
      <c r="F8" s="71" t="s">
        <v>201</v>
      </c>
      <c r="G8" s="37" t="s">
        <v>184</v>
      </c>
      <c r="H8" s="38" t="s">
        <v>185</v>
      </c>
      <c r="I8" s="38" t="s">
        <v>186</v>
      </c>
      <c r="J8" s="38" t="s">
        <v>187</v>
      </c>
      <c r="K8" s="38" t="s">
        <v>188</v>
      </c>
      <c r="L8" s="38" t="s">
        <v>189</v>
      </c>
      <c r="M8" s="38" t="s">
        <v>190</v>
      </c>
      <c r="N8" s="38" t="s">
        <v>191</v>
      </c>
      <c r="O8" s="38" t="s">
        <v>192</v>
      </c>
      <c r="P8" s="38" t="s">
        <v>193</v>
      </c>
      <c r="Q8" s="38" t="s">
        <v>194</v>
      </c>
      <c r="R8" s="38" t="s">
        <v>195</v>
      </c>
      <c r="S8" s="38" t="s">
        <v>196</v>
      </c>
      <c r="T8" s="68" t="s">
        <v>202</v>
      </c>
      <c r="U8" s="65"/>
    </row>
    <row r="9" spans="1:21" ht="17.25" customHeight="1" x14ac:dyDescent="0.2">
      <c r="A9" s="65"/>
      <c r="B9" s="67"/>
      <c r="C9" s="68"/>
      <c r="D9" s="69"/>
      <c r="E9" s="70"/>
      <c r="F9" s="71"/>
      <c r="G9" s="39" t="s">
        <v>198</v>
      </c>
      <c r="H9" s="40" t="s">
        <v>185</v>
      </c>
      <c r="I9" s="40" t="s">
        <v>186</v>
      </c>
      <c r="J9" s="40" t="s">
        <v>187</v>
      </c>
      <c r="K9" s="40" t="s">
        <v>188</v>
      </c>
      <c r="L9" s="40" t="s">
        <v>189</v>
      </c>
      <c r="M9" s="40" t="s">
        <v>190</v>
      </c>
      <c r="N9" s="40" t="s">
        <v>191</v>
      </c>
      <c r="O9" s="40" t="s">
        <v>192</v>
      </c>
      <c r="P9" s="40" t="s">
        <v>193</v>
      </c>
      <c r="Q9" s="40" t="s">
        <v>194</v>
      </c>
      <c r="R9" s="40" t="s">
        <v>195</v>
      </c>
      <c r="S9" s="40" t="s">
        <v>196</v>
      </c>
      <c r="T9" s="68"/>
      <c r="U9" s="65"/>
    </row>
    <row r="10" spans="1:21" ht="17.25" customHeight="1" x14ac:dyDescent="0.2">
      <c r="A10" s="64"/>
      <c r="B10" s="72" t="s">
        <v>347</v>
      </c>
      <c r="C10" s="63">
        <v>240</v>
      </c>
      <c r="D10" s="74">
        <f>C10/0.8</f>
        <v>300</v>
      </c>
      <c r="E10" s="75" t="s">
        <v>203</v>
      </c>
      <c r="F10" s="76" t="s">
        <v>204</v>
      </c>
      <c r="G10" s="32" t="s">
        <v>184</v>
      </c>
      <c r="H10" s="33" t="s">
        <v>185</v>
      </c>
      <c r="I10" s="33" t="s">
        <v>186</v>
      </c>
      <c r="J10" s="33" t="s">
        <v>187</v>
      </c>
      <c r="K10" s="33" t="s">
        <v>188</v>
      </c>
      <c r="L10" s="33" t="s">
        <v>189</v>
      </c>
      <c r="M10" s="33" t="s">
        <v>190</v>
      </c>
      <c r="N10" s="33" t="s">
        <v>191</v>
      </c>
      <c r="O10" s="33" t="s">
        <v>192</v>
      </c>
      <c r="P10" s="33" t="s">
        <v>193</v>
      </c>
      <c r="Q10" s="33" t="s">
        <v>194</v>
      </c>
      <c r="R10" s="33" t="s">
        <v>195</v>
      </c>
      <c r="S10" s="33" t="s">
        <v>196</v>
      </c>
      <c r="T10" s="63" t="s">
        <v>197</v>
      </c>
      <c r="U10" s="64"/>
    </row>
    <row r="11" spans="1:21" ht="17.25" customHeight="1" x14ac:dyDescent="0.2">
      <c r="A11" s="64"/>
      <c r="B11" s="73"/>
      <c r="C11" s="63"/>
      <c r="D11" s="74"/>
      <c r="E11" s="75"/>
      <c r="F11" s="76"/>
      <c r="G11" s="35" t="s">
        <v>198</v>
      </c>
      <c r="H11" s="36" t="s">
        <v>185</v>
      </c>
      <c r="I11" s="36" t="s">
        <v>186</v>
      </c>
      <c r="J11" s="36" t="s">
        <v>187</v>
      </c>
      <c r="K11" s="36" t="s">
        <v>188</v>
      </c>
      <c r="L11" s="36" t="s">
        <v>189</v>
      </c>
      <c r="M11" s="36" t="s">
        <v>190</v>
      </c>
      <c r="N11" s="36" t="s">
        <v>191</v>
      </c>
      <c r="O11" s="36" t="s">
        <v>192</v>
      </c>
      <c r="P11" s="36" t="s">
        <v>193</v>
      </c>
      <c r="Q11" s="36" t="s">
        <v>194</v>
      </c>
      <c r="R11" s="36" t="s">
        <v>195</v>
      </c>
      <c r="S11" s="36" t="s">
        <v>196</v>
      </c>
      <c r="T11" s="63"/>
      <c r="U11" s="64"/>
    </row>
    <row r="12" spans="1:21" ht="17.25" customHeight="1" x14ac:dyDescent="0.2">
      <c r="A12" s="65"/>
      <c r="B12" s="66" t="s">
        <v>348</v>
      </c>
      <c r="C12" s="68">
        <v>3200</v>
      </c>
      <c r="D12" s="69">
        <f>C12/0.8</f>
        <v>4000</v>
      </c>
      <c r="E12" s="70" t="s">
        <v>203</v>
      </c>
      <c r="F12" s="71" t="s">
        <v>204</v>
      </c>
      <c r="G12" s="37" t="s">
        <v>184</v>
      </c>
      <c r="H12" s="38" t="s">
        <v>185</v>
      </c>
      <c r="I12" s="38" t="s">
        <v>186</v>
      </c>
      <c r="J12" s="38" t="s">
        <v>187</v>
      </c>
      <c r="K12" s="38" t="s">
        <v>188</v>
      </c>
      <c r="L12" s="38" t="s">
        <v>189</v>
      </c>
      <c r="M12" s="38" t="s">
        <v>190</v>
      </c>
      <c r="N12" s="38" t="s">
        <v>191</v>
      </c>
      <c r="O12" s="38" t="s">
        <v>192</v>
      </c>
      <c r="P12" s="38" t="s">
        <v>193</v>
      </c>
      <c r="Q12" s="38" t="s">
        <v>194</v>
      </c>
      <c r="R12" s="38" t="s">
        <v>195</v>
      </c>
      <c r="S12" s="38" t="s">
        <v>196</v>
      </c>
      <c r="T12" s="68" t="s">
        <v>202</v>
      </c>
      <c r="U12" s="65"/>
    </row>
    <row r="13" spans="1:21" ht="17.25" customHeight="1" x14ac:dyDescent="0.2">
      <c r="A13" s="65"/>
      <c r="B13" s="67"/>
      <c r="C13" s="68"/>
      <c r="D13" s="69"/>
      <c r="E13" s="70"/>
      <c r="F13" s="71"/>
      <c r="G13" s="39" t="s">
        <v>198</v>
      </c>
      <c r="H13" s="40" t="s">
        <v>185</v>
      </c>
      <c r="I13" s="40" t="s">
        <v>186</v>
      </c>
      <c r="J13" s="40" t="s">
        <v>187</v>
      </c>
      <c r="K13" s="40" t="s">
        <v>188</v>
      </c>
      <c r="L13" s="40" t="s">
        <v>189</v>
      </c>
      <c r="M13" s="40" t="s">
        <v>190</v>
      </c>
      <c r="N13" s="40" t="s">
        <v>191</v>
      </c>
      <c r="O13" s="40" t="s">
        <v>192</v>
      </c>
      <c r="P13" s="40" t="s">
        <v>193</v>
      </c>
      <c r="Q13" s="40" t="s">
        <v>194</v>
      </c>
      <c r="R13" s="40" t="s">
        <v>195</v>
      </c>
      <c r="S13" s="40" t="s">
        <v>196</v>
      </c>
      <c r="T13" s="68"/>
      <c r="U13" s="65"/>
    </row>
    <row r="14" spans="1:21" ht="17.25" customHeight="1" x14ac:dyDescent="0.2">
      <c r="A14" s="64"/>
      <c r="B14" s="72" t="s">
        <v>349</v>
      </c>
      <c r="C14" s="63">
        <v>1040</v>
      </c>
      <c r="D14" s="74">
        <f>C14/0.8</f>
        <v>1300</v>
      </c>
      <c r="E14" s="75" t="s">
        <v>203</v>
      </c>
      <c r="F14" s="76" t="s">
        <v>183</v>
      </c>
      <c r="G14" s="32" t="s">
        <v>184</v>
      </c>
      <c r="H14" s="33" t="s">
        <v>185</v>
      </c>
      <c r="I14" s="33" t="s">
        <v>186</v>
      </c>
      <c r="J14" s="33" t="s">
        <v>187</v>
      </c>
      <c r="K14" s="33" t="s">
        <v>188</v>
      </c>
      <c r="L14" s="33" t="s">
        <v>189</v>
      </c>
      <c r="M14" s="33" t="s">
        <v>190</v>
      </c>
      <c r="N14" s="33" t="s">
        <v>191</v>
      </c>
      <c r="O14" s="33" t="s">
        <v>192</v>
      </c>
      <c r="P14" s="33" t="s">
        <v>193</v>
      </c>
      <c r="Q14" s="33" t="s">
        <v>194</v>
      </c>
      <c r="R14" s="33" t="s">
        <v>195</v>
      </c>
      <c r="S14" s="33" t="s">
        <v>196</v>
      </c>
      <c r="T14" s="63" t="s">
        <v>197</v>
      </c>
      <c r="U14" s="64"/>
    </row>
    <row r="15" spans="1:21" ht="17.25" customHeight="1" x14ac:dyDescent="0.2">
      <c r="A15" s="64"/>
      <c r="B15" s="73"/>
      <c r="C15" s="63"/>
      <c r="D15" s="74"/>
      <c r="E15" s="75"/>
      <c r="F15" s="76"/>
      <c r="G15" s="35" t="s">
        <v>198</v>
      </c>
      <c r="H15" s="36" t="s">
        <v>185</v>
      </c>
      <c r="I15" s="36" t="s">
        <v>186</v>
      </c>
      <c r="J15" s="36" t="s">
        <v>187</v>
      </c>
      <c r="K15" s="36" t="s">
        <v>188</v>
      </c>
      <c r="L15" s="36" t="s">
        <v>189</v>
      </c>
      <c r="M15" s="36" t="s">
        <v>190</v>
      </c>
      <c r="N15" s="36" t="s">
        <v>191</v>
      </c>
      <c r="O15" s="36" t="s">
        <v>192</v>
      </c>
      <c r="P15" s="36" t="s">
        <v>193</v>
      </c>
      <c r="Q15" s="36" t="s">
        <v>194</v>
      </c>
      <c r="R15" s="36" t="s">
        <v>195</v>
      </c>
      <c r="S15" s="36" t="s">
        <v>196</v>
      </c>
      <c r="T15" s="63"/>
      <c r="U15" s="64"/>
    </row>
    <row r="16" spans="1:21" ht="17.25" customHeight="1" x14ac:dyDescent="0.2">
      <c r="A16" s="65"/>
      <c r="B16" s="66" t="s">
        <v>350</v>
      </c>
      <c r="C16" s="68">
        <v>1040</v>
      </c>
      <c r="D16" s="69">
        <f>C16/0.8</f>
        <v>1300</v>
      </c>
      <c r="E16" s="70" t="s">
        <v>203</v>
      </c>
      <c r="F16" s="71" t="s">
        <v>183</v>
      </c>
      <c r="G16" s="37" t="s">
        <v>184</v>
      </c>
      <c r="H16" s="38" t="s">
        <v>185</v>
      </c>
      <c r="I16" s="38" t="s">
        <v>186</v>
      </c>
      <c r="J16" s="38" t="s">
        <v>187</v>
      </c>
      <c r="K16" s="38" t="s">
        <v>188</v>
      </c>
      <c r="L16" s="38" t="s">
        <v>189</v>
      </c>
      <c r="M16" s="38" t="s">
        <v>190</v>
      </c>
      <c r="N16" s="38" t="s">
        <v>191</v>
      </c>
      <c r="O16" s="38" t="s">
        <v>192</v>
      </c>
      <c r="P16" s="38" t="s">
        <v>193</v>
      </c>
      <c r="Q16" s="38" t="s">
        <v>194</v>
      </c>
      <c r="R16" s="38" t="s">
        <v>195</v>
      </c>
      <c r="S16" s="38" t="s">
        <v>196</v>
      </c>
      <c r="T16" s="68" t="s">
        <v>199</v>
      </c>
      <c r="U16" s="65"/>
    </row>
    <row r="17" spans="1:21" ht="17.25" customHeight="1" x14ac:dyDescent="0.2">
      <c r="A17" s="65"/>
      <c r="B17" s="67"/>
      <c r="C17" s="68"/>
      <c r="D17" s="69"/>
      <c r="E17" s="70"/>
      <c r="F17" s="71"/>
      <c r="G17" s="39" t="s">
        <v>198</v>
      </c>
      <c r="H17" s="40" t="s">
        <v>185</v>
      </c>
      <c r="I17" s="40" t="s">
        <v>186</v>
      </c>
      <c r="J17" s="40" t="s">
        <v>187</v>
      </c>
      <c r="K17" s="40" t="s">
        <v>188</v>
      </c>
      <c r="L17" s="40" t="s">
        <v>189</v>
      </c>
      <c r="M17" s="40" t="s">
        <v>190</v>
      </c>
      <c r="N17" s="40" t="s">
        <v>191</v>
      </c>
      <c r="O17" s="40" t="s">
        <v>192</v>
      </c>
      <c r="P17" s="40" t="s">
        <v>193</v>
      </c>
      <c r="Q17" s="40" t="s">
        <v>194</v>
      </c>
      <c r="R17" s="40" t="s">
        <v>195</v>
      </c>
      <c r="S17" s="40" t="s">
        <v>196</v>
      </c>
      <c r="T17" s="68"/>
      <c r="U17" s="65"/>
    </row>
    <row r="18" spans="1:21" ht="17.25" customHeight="1" x14ac:dyDescent="0.2">
      <c r="A18" s="64"/>
      <c r="B18" s="72" t="s">
        <v>351</v>
      </c>
      <c r="C18" s="63">
        <v>3600</v>
      </c>
      <c r="D18" s="74">
        <f>C18/0.8</f>
        <v>4500</v>
      </c>
      <c r="E18" s="75" t="s">
        <v>203</v>
      </c>
      <c r="F18" s="76" t="s">
        <v>200</v>
      </c>
      <c r="G18" s="32" t="s">
        <v>184</v>
      </c>
      <c r="H18" s="33" t="s">
        <v>185</v>
      </c>
      <c r="I18" s="33" t="s">
        <v>186</v>
      </c>
      <c r="J18" s="33" t="s">
        <v>187</v>
      </c>
      <c r="K18" s="33" t="s">
        <v>188</v>
      </c>
      <c r="L18" s="33" t="s">
        <v>189</v>
      </c>
      <c r="M18" s="33" t="s">
        <v>190</v>
      </c>
      <c r="N18" s="33" t="s">
        <v>191</v>
      </c>
      <c r="O18" s="33" t="s">
        <v>192</v>
      </c>
      <c r="P18" s="33" t="s">
        <v>193</v>
      </c>
      <c r="Q18" s="33" t="s">
        <v>194</v>
      </c>
      <c r="R18" s="33" t="s">
        <v>195</v>
      </c>
      <c r="S18" s="33" t="s">
        <v>196</v>
      </c>
      <c r="T18" s="63" t="s">
        <v>199</v>
      </c>
      <c r="U18" s="64"/>
    </row>
    <row r="19" spans="1:21" ht="17.25" customHeight="1" x14ac:dyDescent="0.2">
      <c r="A19" s="64"/>
      <c r="B19" s="73"/>
      <c r="C19" s="63"/>
      <c r="D19" s="74"/>
      <c r="E19" s="75"/>
      <c r="F19" s="76"/>
      <c r="G19" s="35" t="s">
        <v>198</v>
      </c>
      <c r="H19" s="36" t="s">
        <v>185</v>
      </c>
      <c r="I19" s="36" t="s">
        <v>186</v>
      </c>
      <c r="J19" s="36" t="s">
        <v>187</v>
      </c>
      <c r="K19" s="36" t="s">
        <v>188</v>
      </c>
      <c r="L19" s="36" t="s">
        <v>189</v>
      </c>
      <c r="M19" s="36" t="s">
        <v>190</v>
      </c>
      <c r="N19" s="36" t="s">
        <v>191</v>
      </c>
      <c r="O19" s="36" t="s">
        <v>192</v>
      </c>
      <c r="P19" s="36" t="s">
        <v>193</v>
      </c>
      <c r="Q19" s="36" t="s">
        <v>194</v>
      </c>
      <c r="R19" s="36" t="s">
        <v>195</v>
      </c>
      <c r="S19" s="36" t="s">
        <v>196</v>
      </c>
      <c r="T19" s="63"/>
      <c r="U19" s="64"/>
    </row>
    <row r="20" spans="1:21" ht="17.25" customHeight="1" x14ac:dyDescent="0.2">
      <c r="A20" s="64"/>
      <c r="B20" s="72" t="s">
        <v>352</v>
      </c>
      <c r="C20" s="63">
        <v>160</v>
      </c>
      <c r="D20" s="74">
        <f>C20/0.8</f>
        <v>200</v>
      </c>
      <c r="E20" s="75" t="s">
        <v>203</v>
      </c>
      <c r="F20" s="76" t="s">
        <v>200</v>
      </c>
      <c r="G20" s="32" t="s">
        <v>184</v>
      </c>
      <c r="H20" s="34" t="s">
        <v>185</v>
      </c>
      <c r="I20" s="34" t="s">
        <v>186</v>
      </c>
      <c r="J20" s="34" t="s">
        <v>187</v>
      </c>
      <c r="K20" s="33" t="s">
        <v>188</v>
      </c>
      <c r="L20" s="33" t="s">
        <v>189</v>
      </c>
      <c r="M20" s="33" t="s">
        <v>190</v>
      </c>
      <c r="N20" s="33" t="s">
        <v>191</v>
      </c>
      <c r="O20" s="33" t="s">
        <v>192</v>
      </c>
      <c r="P20" s="33" t="s">
        <v>193</v>
      </c>
      <c r="Q20" s="34" t="s">
        <v>194</v>
      </c>
      <c r="R20" s="34" t="s">
        <v>195</v>
      </c>
      <c r="S20" s="34" t="s">
        <v>196</v>
      </c>
      <c r="T20" s="63" t="s">
        <v>197</v>
      </c>
      <c r="U20" s="64"/>
    </row>
    <row r="21" spans="1:21" ht="17.25" customHeight="1" x14ac:dyDescent="0.2">
      <c r="A21" s="64"/>
      <c r="B21" s="73"/>
      <c r="C21" s="63"/>
      <c r="D21" s="74"/>
      <c r="E21" s="75"/>
      <c r="F21" s="76"/>
      <c r="G21" s="35" t="s">
        <v>198</v>
      </c>
      <c r="H21" s="36" t="s">
        <v>185</v>
      </c>
      <c r="I21" s="36" t="s">
        <v>186</v>
      </c>
      <c r="J21" s="36" t="s">
        <v>187</v>
      </c>
      <c r="K21" s="34" t="s">
        <v>188</v>
      </c>
      <c r="L21" s="34" t="s">
        <v>189</v>
      </c>
      <c r="M21" s="34" t="s">
        <v>190</v>
      </c>
      <c r="N21" s="34" t="s">
        <v>191</v>
      </c>
      <c r="O21" s="34" t="s">
        <v>192</v>
      </c>
      <c r="P21" s="34" t="s">
        <v>193</v>
      </c>
      <c r="Q21" s="36" t="s">
        <v>194</v>
      </c>
      <c r="R21" s="36" t="s">
        <v>195</v>
      </c>
      <c r="S21" s="36" t="s">
        <v>196</v>
      </c>
      <c r="T21" s="63"/>
      <c r="U21" s="64"/>
    </row>
    <row r="22" spans="1:21" ht="17.25" customHeight="1" x14ac:dyDescent="0.2">
      <c r="A22" s="65"/>
      <c r="B22" s="66" t="s">
        <v>353</v>
      </c>
      <c r="C22" s="68">
        <v>3000</v>
      </c>
      <c r="D22" s="69">
        <f>C22/0.8</f>
        <v>3750</v>
      </c>
      <c r="E22" s="70" t="s">
        <v>182</v>
      </c>
      <c r="F22" s="71" t="s">
        <v>204</v>
      </c>
      <c r="G22" s="37" t="s">
        <v>184</v>
      </c>
      <c r="H22" s="41" t="s">
        <v>185</v>
      </c>
      <c r="I22" s="41" t="s">
        <v>186</v>
      </c>
      <c r="J22" s="41" t="s">
        <v>187</v>
      </c>
      <c r="K22" s="41" t="s">
        <v>188</v>
      </c>
      <c r="L22" s="41" t="s">
        <v>189</v>
      </c>
      <c r="M22" s="41" t="s">
        <v>190</v>
      </c>
      <c r="N22" s="41" t="s">
        <v>191</v>
      </c>
      <c r="O22" s="38" t="s">
        <v>192</v>
      </c>
      <c r="P22" s="38" t="s">
        <v>193</v>
      </c>
      <c r="Q22" s="41" t="s">
        <v>194</v>
      </c>
      <c r="R22" s="41" t="s">
        <v>195</v>
      </c>
      <c r="S22" s="41" t="s">
        <v>196</v>
      </c>
      <c r="T22" s="68" t="s">
        <v>202</v>
      </c>
      <c r="U22" s="65"/>
    </row>
    <row r="23" spans="1:21" ht="17.25" customHeight="1" x14ac:dyDescent="0.2">
      <c r="A23" s="65"/>
      <c r="B23" s="67"/>
      <c r="C23" s="68"/>
      <c r="D23" s="69"/>
      <c r="E23" s="70"/>
      <c r="F23" s="71"/>
      <c r="G23" s="39" t="s">
        <v>198</v>
      </c>
      <c r="H23" s="41" t="s">
        <v>185</v>
      </c>
      <c r="I23" s="40" t="s">
        <v>186</v>
      </c>
      <c r="J23" s="40" t="s">
        <v>187</v>
      </c>
      <c r="K23" s="41" t="s">
        <v>188</v>
      </c>
      <c r="L23" s="41" t="s">
        <v>189</v>
      </c>
      <c r="M23" s="41" t="s">
        <v>190</v>
      </c>
      <c r="N23" s="41" t="s">
        <v>191</v>
      </c>
      <c r="O23" s="41" t="s">
        <v>192</v>
      </c>
      <c r="P23" s="41" t="s">
        <v>193</v>
      </c>
      <c r="Q23" s="41" t="s">
        <v>194</v>
      </c>
      <c r="R23" s="41" t="s">
        <v>195</v>
      </c>
      <c r="S23" s="41" t="s">
        <v>196</v>
      </c>
      <c r="T23" s="68"/>
      <c r="U23" s="65"/>
    </row>
    <row r="24" spans="1:21" ht="17.25" customHeight="1" x14ac:dyDescent="0.2">
      <c r="A24" s="64"/>
      <c r="B24" s="72" t="s">
        <v>354</v>
      </c>
      <c r="C24" s="63">
        <v>4000</v>
      </c>
      <c r="D24" s="74">
        <f>C24/0.8</f>
        <v>5000</v>
      </c>
      <c r="E24" s="75" t="s">
        <v>182</v>
      </c>
      <c r="F24" s="76" t="s">
        <v>204</v>
      </c>
      <c r="G24" s="32" t="s">
        <v>184</v>
      </c>
      <c r="H24" s="34" t="s">
        <v>185</v>
      </c>
      <c r="I24" s="34" t="s">
        <v>186</v>
      </c>
      <c r="J24" s="34" t="s">
        <v>187</v>
      </c>
      <c r="K24" s="33" t="s">
        <v>188</v>
      </c>
      <c r="L24" s="33" t="s">
        <v>189</v>
      </c>
      <c r="M24" s="33" t="s">
        <v>190</v>
      </c>
      <c r="N24" s="33" t="s">
        <v>191</v>
      </c>
      <c r="O24" s="33" t="s">
        <v>192</v>
      </c>
      <c r="P24" s="33" t="s">
        <v>193</v>
      </c>
      <c r="Q24" s="33" t="s">
        <v>194</v>
      </c>
      <c r="R24" s="34" t="s">
        <v>195</v>
      </c>
      <c r="S24" s="34" t="s">
        <v>196</v>
      </c>
      <c r="T24" s="63" t="s">
        <v>205</v>
      </c>
      <c r="U24" s="64"/>
    </row>
    <row r="25" spans="1:21" ht="17.25" customHeight="1" x14ac:dyDescent="0.2">
      <c r="A25" s="64"/>
      <c r="B25" s="73"/>
      <c r="C25" s="63"/>
      <c r="D25" s="74"/>
      <c r="E25" s="75"/>
      <c r="F25" s="76"/>
      <c r="G25" s="35" t="s">
        <v>198</v>
      </c>
      <c r="H25" s="36" t="s">
        <v>185</v>
      </c>
      <c r="I25" s="36" t="s">
        <v>186</v>
      </c>
      <c r="J25" s="36" t="s">
        <v>187</v>
      </c>
      <c r="K25" s="36" t="s">
        <v>188</v>
      </c>
      <c r="L25" s="34" t="s">
        <v>189</v>
      </c>
      <c r="M25" s="34" t="s">
        <v>190</v>
      </c>
      <c r="N25" s="34" t="s">
        <v>191</v>
      </c>
      <c r="O25" s="34" t="s">
        <v>192</v>
      </c>
      <c r="P25" s="34" t="s">
        <v>193</v>
      </c>
      <c r="Q25" s="36" t="s">
        <v>194</v>
      </c>
      <c r="R25" s="36" t="s">
        <v>195</v>
      </c>
      <c r="S25" s="36" t="s">
        <v>196</v>
      </c>
      <c r="T25" s="63"/>
      <c r="U25" s="64"/>
    </row>
    <row r="26" spans="1:21" ht="17.25" customHeight="1" x14ac:dyDescent="0.2">
      <c r="A26" s="65"/>
      <c r="B26" s="66" t="s">
        <v>355</v>
      </c>
      <c r="C26" s="68">
        <v>80</v>
      </c>
      <c r="D26" s="69">
        <f>C26/0.8</f>
        <v>100</v>
      </c>
      <c r="E26" s="70" t="s">
        <v>203</v>
      </c>
      <c r="F26" s="71" t="s">
        <v>183</v>
      </c>
      <c r="G26" s="37" t="s">
        <v>184</v>
      </c>
      <c r="H26" s="41" t="s">
        <v>185</v>
      </c>
      <c r="I26" s="41" t="s">
        <v>186</v>
      </c>
      <c r="J26" s="38" t="s">
        <v>187</v>
      </c>
      <c r="K26" s="38" t="s">
        <v>188</v>
      </c>
      <c r="L26" s="38" t="s">
        <v>189</v>
      </c>
      <c r="M26" s="38" t="s">
        <v>190</v>
      </c>
      <c r="N26" s="38" t="s">
        <v>191</v>
      </c>
      <c r="O26" s="41" t="s">
        <v>192</v>
      </c>
      <c r="P26" s="41" t="s">
        <v>193</v>
      </c>
      <c r="Q26" s="41" t="s">
        <v>194</v>
      </c>
      <c r="R26" s="41" t="s">
        <v>195</v>
      </c>
      <c r="S26" s="41" t="s">
        <v>196</v>
      </c>
      <c r="T26" s="68" t="s">
        <v>197</v>
      </c>
      <c r="U26" s="65"/>
    </row>
    <row r="27" spans="1:21" ht="17.25" customHeight="1" x14ac:dyDescent="0.2">
      <c r="A27" s="65"/>
      <c r="B27" s="67"/>
      <c r="C27" s="68"/>
      <c r="D27" s="69"/>
      <c r="E27" s="70"/>
      <c r="F27" s="71"/>
      <c r="G27" s="39" t="s">
        <v>198</v>
      </c>
      <c r="H27" s="40" t="s">
        <v>185</v>
      </c>
      <c r="I27" s="41" t="s">
        <v>186</v>
      </c>
      <c r="J27" s="41" t="s">
        <v>187</v>
      </c>
      <c r="K27" s="41" t="s">
        <v>188</v>
      </c>
      <c r="L27" s="41" t="s">
        <v>189</v>
      </c>
      <c r="M27" s="41" t="s">
        <v>190</v>
      </c>
      <c r="N27" s="41" t="s">
        <v>191</v>
      </c>
      <c r="O27" s="41" t="s">
        <v>192</v>
      </c>
      <c r="P27" s="40" t="s">
        <v>193</v>
      </c>
      <c r="Q27" s="40" t="s">
        <v>194</v>
      </c>
      <c r="R27" s="40" t="s">
        <v>195</v>
      </c>
      <c r="S27" s="40" t="s">
        <v>196</v>
      </c>
      <c r="T27" s="68"/>
      <c r="U27" s="65"/>
    </row>
    <row r="28" spans="1:21" ht="17.25" customHeight="1" x14ac:dyDescent="0.2">
      <c r="A28" s="64"/>
      <c r="B28" s="72" t="s">
        <v>356</v>
      </c>
      <c r="C28" s="63">
        <v>96</v>
      </c>
      <c r="D28" s="74">
        <f>C28/0.8</f>
        <v>120</v>
      </c>
      <c r="E28" s="75" t="s">
        <v>203</v>
      </c>
      <c r="F28" s="76" t="s">
        <v>200</v>
      </c>
      <c r="G28" s="32" t="s">
        <v>184</v>
      </c>
      <c r="H28" s="34" t="s">
        <v>185</v>
      </c>
      <c r="I28" s="34" t="s">
        <v>186</v>
      </c>
      <c r="J28" s="34" t="s">
        <v>187</v>
      </c>
      <c r="K28" s="34" t="s">
        <v>188</v>
      </c>
      <c r="L28" s="33" t="s">
        <v>189</v>
      </c>
      <c r="M28" s="33" t="s">
        <v>190</v>
      </c>
      <c r="N28" s="33" t="s">
        <v>191</v>
      </c>
      <c r="O28" s="33" t="s">
        <v>192</v>
      </c>
      <c r="P28" s="34" t="s">
        <v>193</v>
      </c>
      <c r="Q28" s="34" t="s">
        <v>194</v>
      </c>
      <c r="R28" s="34" t="s">
        <v>195</v>
      </c>
      <c r="S28" s="34" t="s">
        <v>196</v>
      </c>
      <c r="T28" s="63" t="s">
        <v>197</v>
      </c>
      <c r="U28" s="64"/>
    </row>
    <row r="29" spans="1:21" ht="17.25" customHeight="1" x14ac:dyDescent="0.2">
      <c r="A29" s="64"/>
      <c r="B29" s="73"/>
      <c r="C29" s="63"/>
      <c r="D29" s="74"/>
      <c r="E29" s="75"/>
      <c r="F29" s="76"/>
      <c r="G29" s="35" t="s">
        <v>198</v>
      </c>
      <c r="H29" s="36" t="s">
        <v>185</v>
      </c>
      <c r="I29" s="36" t="s">
        <v>186</v>
      </c>
      <c r="J29" s="34" t="s">
        <v>187</v>
      </c>
      <c r="K29" s="34" t="s">
        <v>188</v>
      </c>
      <c r="L29" s="34" t="s">
        <v>189</v>
      </c>
      <c r="M29" s="34" t="s">
        <v>190</v>
      </c>
      <c r="N29" s="34" t="s">
        <v>191</v>
      </c>
      <c r="O29" s="34" t="s">
        <v>192</v>
      </c>
      <c r="P29" s="34" t="s">
        <v>193</v>
      </c>
      <c r="Q29" s="34" t="s">
        <v>194</v>
      </c>
      <c r="R29" s="36" t="s">
        <v>195</v>
      </c>
      <c r="S29" s="36" t="s">
        <v>196</v>
      </c>
      <c r="T29" s="63"/>
      <c r="U29" s="64"/>
    </row>
    <row r="30" spans="1:21" ht="17.25" customHeight="1" x14ac:dyDescent="0.2">
      <c r="A30" s="65"/>
      <c r="B30" s="66" t="s">
        <v>357</v>
      </c>
      <c r="C30" s="68">
        <v>320</v>
      </c>
      <c r="D30" s="69">
        <f>C30/0.8</f>
        <v>400</v>
      </c>
      <c r="E30" s="70" t="s">
        <v>182</v>
      </c>
      <c r="F30" s="71" t="s">
        <v>200</v>
      </c>
      <c r="G30" s="37" t="s">
        <v>184</v>
      </c>
      <c r="H30" s="38" t="s">
        <v>185</v>
      </c>
      <c r="I30" s="38" t="s">
        <v>186</v>
      </c>
      <c r="J30" s="38" t="s">
        <v>187</v>
      </c>
      <c r="K30" s="38" t="s">
        <v>188</v>
      </c>
      <c r="L30" s="38" t="s">
        <v>189</v>
      </c>
      <c r="M30" s="38" t="s">
        <v>190</v>
      </c>
      <c r="N30" s="38" t="s">
        <v>191</v>
      </c>
      <c r="O30" s="38" t="s">
        <v>192</v>
      </c>
      <c r="P30" s="38" t="s">
        <v>193</v>
      </c>
      <c r="Q30" s="38" t="s">
        <v>194</v>
      </c>
      <c r="R30" s="38" t="s">
        <v>195</v>
      </c>
      <c r="S30" s="38" t="s">
        <v>196</v>
      </c>
      <c r="T30" s="68" t="s">
        <v>202</v>
      </c>
      <c r="U30" s="65"/>
    </row>
    <row r="31" spans="1:21" ht="17.25" customHeight="1" x14ac:dyDescent="0.2">
      <c r="A31" s="65"/>
      <c r="B31" s="67"/>
      <c r="C31" s="68"/>
      <c r="D31" s="69"/>
      <c r="E31" s="70"/>
      <c r="F31" s="71"/>
      <c r="G31" s="39" t="s">
        <v>198</v>
      </c>
      <c r="H31" s="40" t="s">
        <v>185</v>
      </c>
      <c r="I31" s="40" t="s">
        <v>186</v>
      </c>
      <c r="J31" s="40" t="s">
        <v>187</v>
      </c>
      <c r="K31" s="40" t="s">
        <v>188</v>
      </c>
      <c r="L31" s="40" t="s">
        <v>189</v>
      </c>
      <c r="M31" s="40" t="s">
        <v>190</v>
      </c>
      <c r="N31" s="40" t="s">
        <v>191</v>
      </c>
      <c r="O31" s="40" t="s">
        <v>192</v>
      </c>
      <c r="P31" s="40" t="s">
        <v>193</v>
      </c>
      <c r="Q31" s="40" t="s">
        <v>194</v>
      </c>
      <c r="R31" s="40" t="s">
        <v>195</v>
      </c>
      <c r="S31" s="40" t="s">
        <v>196</v>
      </c>
      <c r="T31" s="68"/>
      <c r="U31" s="65"/>
    </row>
    <row r="32" spans="1:21" ht="17.25" customHeight="1" x14ac:dyDescent="0.2">
      <c r="A32" s="64"/>
      <c r="B32" s="72" t="s">
        <v>358</v>
      </c>
      <c r="C32" s="63">
        <v>320</v>
      </c>
      <c r="D32" s="74">
        <f>C32/0.8</f>
        <v>400</v>
      </c>
      <c r="E32" s="75" t="s">
        <v>182</v>
      </c>
      <c r="F32" s="76" t="s">
        <v>200</v>
      </c>
      <c r="G32" s="32" t="s">
        <v>184</v>
      </c>
      <c r="H32" s="34" t="s">
        <v>185</v>
      </c>
      <c r="I32" s="34" t="s">
        <v>186</v>
      </c>
      <c r="J32" s="33" t="s">
        <v>187</v>
      </c>
      <c r="K32" s="33" t="s">
        <v>188</v>
      </c>
      <c r="L32" s="33" t="s">
        <v>189</v>
      </c>
      <c r="M32" s="34" t="s">
        <v>190</v>
      </c>
      <c r="N32" s="34" t="s">
        <v>191</v>
      </c>
      <c r="O32" s="34" t="s">
        <v>192</v>
      </c>
      <c r="P32" s="34" t="s">
        <v>193</v>
      </c>
      <c r="Q32" s="34" t="s">
        <v>194</v>
      </c>
      <c r="R32" s="34" t="s">
        <v>195</v>
      </c>
      <c r="S32" s="34" t="s">
        <v>196</v>
      </c>
      <c r="T32" s="63" t="s">
        <v>197</v>
      </c>
      <c r="U32" s="64"/>
    </row>
    <row r="33" spans="1:21" ht="17.25" customHeight="1" x14ac:dyDescent="0.2">
      <c r="A33" s="64"/>
      <c r="B33" s="73"/>
      <c r="C33" s="63"/>
      <c r="D33" s="74"/>
      <c r="E33" s="75"/>
      <c r="F33" s="76"/>
      <c r="G33" s="35" t="s">
        <v>198</v>
      </c>
      <c r="H33" s="34" t="s">
        <v>185</v>
      </c>
      <c r="I33" s="34" t="s">
        <v>186</v>
      </c>
      <c r="J33" s="34" t="s">
        <v>187</v>
      </c>
      <c r="K33" s="34" t="s">
        <v>188</v>
      </c>
      <c r="L33" s="34" t="s">
        <v>189</v>
      </c>
      <c r="M33" s="34" t="s">
        <v>190</v>
      </c>
      <c r="N33" s="34" t="s">
        <v>191</v>
      </c>
      <c r="O33" s="34" t="s">
        <v>192</v>
      </c>
      <c r="P33" s="36" t="s">
        <v>193</v>
      </c>
      <c r="Q33" s="36" t="s">
        <v>194</v>
      </c>
      <c r="R33" s="36" t="s">
        <v>195</v>
      </c>
      <c r="S33" s="34" t="s">
        <v>196</v>
      </c>
      <c r="T33" s="63"/>
      <c r="U33" s="64"/>
    </row>
    <row r="34" spans="1:21" ht="17.25" customHeight="1" x14ac:dyDescent="0.2">
      <c r="A34" s="65"/>
      <c r="B34" s="66" t="s">
        <v>359</v>
      </c>
      <c r="C34" s="68">
        <v>640</v>
      </c>
      <c r="D34" s="69">
        <f>C34/0.8</f>
        <v>800</v>
      </c>
      <c r="E34" s="70" t="s">
        <v>203</v>
      </c>
      <c r="F34" s="71" t="s">
        <v>204</v>
      </c>
      <c r="G34" s="37" t="s">
        <v>184</v>
      </c>
      <c r="H34" s="41" t="s">
        <v>185</v>
      </c>
      <c r="I34" s="41" t="s">
        <v>186</v>
      </c>
      <c r="J34" s="41" t="s">
        <v>187</v>
      </c>
      <c r="K34" s="41" t="s">
        <v>188</v>
      </c>
      <c r="L34" s="38" t="s">
        <v>189</v>
      </c>
      <c r="M34" s="38" t="s">
        <v>190</v>
      </c>
      <c r="N34" s="38" t="s">
        <v>191</v>
      </c>
      <c r="O34" s="38" t="s">
        <v>192</v>
      </c>
      <c r="P34" s="38" t="s">
        <v>193</v>
      </c>
      <c r="Q34" s="38" t="s">
        <v>194</v>
      </c>
      <c r="R34" s="41" t="s">
        <v>195</v>
      </c>
      <c r="S34" s="41" t="s">
        <v>196</v>
      </c>
      <c r="T34" s="68" t="s">
        <v>202</v>
      </c>
      <c r="U34" s="65"/>
    </row>
    <row r="35" spans="1:21" ht="17.25" customHeight="1" x14ac:dyDescent="0.2">
      <c r="A35" s="65"/>
      <c r="B35" s="67"/>
      <c r="C35" s="68"/>
      <c r="D35" s="69"/>
      <c r="E35" s="70"/>
      <c r="F35" s="71"/>
      <c r="G35" s="39" t="s">
        <v>198</v>
      </c>
      <c r="H35" s="40" t="s">
        <v>185</v>
      </c>
      <c r="I35" s="40" t="s">
        <v>186</v>
      </c>
      <c r="J35" s="40" t="s">
        <v>187</v>
      </c>
      <c r="K35" s="40" t="s">
        <v>188</v>
      </c>
      <c r="L35" s="41" t="s">
        <v>189</v>
      </c>
      <c r="M35" s="41" t="s">
        <v>190</v>
      </c>
      <c r="N35" s="41" t="s">
        <v>191</v>
      </c>
      <c r="O35" s="41" t="s">
        <v>192</v>
      </c>
      <c r="P35" s="41" t="s">
        <v>193</v>
      </c>
      <c r="Q35" s="41" t="s">
        <v>194</v>
      </c>
      <c r="R35" s="40" t="s">
        <v>195</v>
      </c>
      <c r="S35" s="40" t="s">
        <v>196</v>
      </c>
      <c r="T35" s="68"/>
      <c r="U35" s="65"/>
    </row>
    <row r="36" spans="1:21" ht="17.25" customHeight="1" x14ac:dyDescent="0.2">
      <c r="A36" s="65"/>
      <c r="B36" s="66" t="s">
        <v>360</v>
      </c>
      <c r="C36" s="68">
        <v>144</v>
      </c>
      <c r="D36" s="69">
        <f>C36/0.8</f>
        <v>180</v>
      </c>
      <c r="E36" s="70" t="s">
        <v>182</v>
      </c>
      <c r="F36" s="71" t="s">
        <v>200</v>
      </c>
      <c r="G36" s="37" t="s">
        <v>184</v>
      </c>
      <c r="H36" s="38" t="s">
        <v>185</v>
      </c>
      <c r="I36" s="38" t="s">
        <v>186</v>
      </c>
      <c r="J36" s="38" t="s">
        <v>187</v>
      </c>
      <c r="K36" s="38" t="s">
        <v>188</v>
      </c>
      <c r="L36" s="38" t="s">
        <v>189</v>
      </c>
      <c r="M36" s="38" t="s">
        <v>190</v>
      </c>
      <c r="N36" s="38" t="s">
        <v>191</v>
      </c>
      <c r="O36" s="38" t="s">
        <v>192</v>
      </c>
      <c r="P36" s="38" t="s">
        <v>193</v>
      </c>
      <c r="Q36" s="38" t="s">
        <v>194</v>
      </c>
      <c r="R36" s="38" t="s">
        <v>195</v>
      </c>
      <c r="S36" s="38" t="s">
        <v>196</v>
      </c>
      <c r="T36" s="68" t="s">
        <v>199</v>
      </c>
      <c r="U36" s="65"/>
    </row>
    <row r="37" spans="1:21" ht="17.25" customHeight="1" x14ac:dyDescent="0.2">
      <c r="A37" s="65"/>
      <c r="B37" s="67"/>
      <c r="C37" s="68"/>
      <c r="D37" s="69"/>
      <c r="E37" s="70"/>
      <c r="F37" s="71"/>
      <c r="G37" s="39" t="s">
        <v>198</v>
      </c>
      <c r="H37" s="40" t="s">
        <v>185</v>
      </c>
      <c r="I37" s="40" t="s">
        <v>186</v>
      </c>
      <c r="J37" s="40" t="s">
        <v>187</v>
      </c>
      <c r="K37" s="40" t="s">
        <v>188</v>
      </c>
      <c r="L37" s="40" t="s">
        <v>189</v>
      </c>
      <c r="M37" s="40" t="s">
        <v>190</v>
      </c>
      <c r="N37" s="40" t="s">
        <v>191</v>
      </c>
      <c r="O37" s="40" t="s">
        <v>192</v>
      </c>
      <c r="P37" s="40" t="s">
        <v>193</v>
      </c>
      <c r="Q37" s="40" t="s">
        <v>194</v>
      </c>
      <c r="R37" s="40" t="s">
        <v>195</v>
      </c>
      <c r="S37" s="40" t="s">
        <v>196</v>
      </c>
      <c r="T37" s="68"/>
      <c r="U37" s="65"/>
    </row>
    <row r="38" spans="1:21" ht="17.25" customHeight="1" x14ac:dyDescent="0.2">
      <c r="A38" s="64"/>
      <c r="B38" s="72" t="s">
        <v>361</v>
      </c>
      <c r="C38" s="63">
        <v>240</v>
      </c>
      <c r="D38" s="74">
        <f>C38/0.8</f>
        <v>300</v>
      </c>
      <c r="E38" s="75" t="s">
        <v>182</v>
      </c>
      <c r="F38" s="76" t="s">
        <v>201</v>
      </c>
      <c r="G38" s="32" t="s">
        <v>184</v>
      </c>
      <c r="H38" s="33" t="s">
        <v>185</v>
      </c>
      <c r="I38" s="33" t="s">
        <v>186</v>
      </c>
      <c r="J38" s="33" t="s">
        <v>187</v>
      </c>
      <c r="K38" s="34" t="s">
        <v>188</v>
      </c>
      <c r="L38" s="34" t="s">
        <v>189</v>
      </c>
      <c r="M38" s="34" t="s">
        <v>190</v>
      </c>
      <c r="N38" s="34" t="s">
        <v>191</v>
      </c>
      <c r="O38" s="34" t="s">
        <v>192</v>
      </c>
      <c r="P38" s="34" t="s">
        <v>193</v>
      </c>
      <c r="Q38" s="33" t="s">
        <v>194</v>
      </c>
      <c r="R38" s="33" t="s">
        <v>195</v>
      </c>
      <c r="S38" s="33" t="s">
        <v>196</v>
      </c>
      <c r="T38" s="63" t="s">
        <v>197</v>
      </c>
      <c r="U38" s="64"/>
    </row>
    <row r="39" spans="1:21" ht="17.25" customHeight="1" x14ac:dyDescent="0.2">
      <c r="A39" s="64"/>
      <c r="B39" s="73"/>
      <c r="C39" s="63"/>
      <c r="D39" s="74"/>
      <c r="E39" s="75"/>
      <c r="F39" s="76"/>
      <c r="G39" s="35" t="s">
        <v>198</v>
      </c>
      <c r="H39" s="34" t="s">
        <v>185</v>
      </c>
      <c r="I39" s="34" t="s">
        <v>186</v>
      </c>
      <c r="J39" s="34" t="s">
        <v>187</v>
      </c>
      <c r="K39" s="36" t="s">
        <v>188</v>
      </c>
      <c r="L39" s="36" t="s">
        <v>189</v>
      </c>
      <c r="M39" s="36" t="s">
        <v>190</v>
      </c>
      <c r="N39" s="36" t="s">
        <v>191</v>
      </c>
      <c r="O39" s="36" t="s">
        <v>192</v>
      </c>
      <c r="P39" s="36" t="s">
        <v>193</v>
      </c>
      <c r="Q39" s="34" t="s">
        <v>194</v>
      </c>
      <c r="R39" s="34" t="s">
        <v>195</v>
      </c>
      <c r="S39" s="34" t="s">
        <v>196</v>
      </c>
      <c r="T39" s="63"/>
      <c r="U39" s="64"/>
    </row>
    <row r="40" spans="1:21" ht="17.25" customHeight="1" x14ac:dyDescent="0.2">
      <c r="A40" s="65"/>
      <c r="B40" s="66" t="s">
        <v>362</v>
      </c>
      <c r="C40" s="68">
        <v>320</v>
      </c>
      <c r="D40" s="69">
        <f>C40/0.8</f>
        <v>400</v>
      </c>
      <c r="E40" s="70" t="s">
        <v>182</v>
      </c>
      <c r="F40" s="71" t="s">
        <v>204</v>
      </c>
      <c r="G40" s="37" t="s">
        <v>184</v>
      </c>
      <c r="H40" s="38" t="s">
        <v>185</v>
      </c>
      <c r="I40" s="38" t="s">
        <v>186</v>
      </c>
      <c r="J40" s="38" t="s">
        <v>187</v>
      </c>
      <c r="K40" s="38" t="s">
        <v>188</v>
      </c>
      <c r="L40" s="38" t="s">
        <v>189</v>
      </c>
      <c r="M40" s="38" t="s">
        <v>190</v>
      </c>
      <c r="N40" s="38" t="s">
        <v>191</v>
      </c>
      <c r="O40" s="38" t="s">
        <v>192</v>
      </c>
      <c r="P40" s="38" t="s">
        <v>193</v>
      </c>
      <c r="Q40" s="38" t="s">
        <v>194</v>
      </c>
      <c r="R40" s="38" t="s">
        <v>195</v>
      </c>
      <c r="S40" s="38" t="s">
        <v>196</v>
      </c>
      <c r="T40" s="68" t="s">
        <v>197</v>
      </c>
      <c r="U40" s="65"/>
    </row>
    <row r="41" spans="1:21" ht="17.25" customHeight="1" x14ac:dyDescent="0.2">
      <c r="A41" s="65"/>
      <c r="B41" s="67"/>
      <c r="C41" s="68"/>
      <c r="D41" s="69"/>
      <c r="E41" s="70"/>
      <c r="F41" s="71"/>
      <c r="G41" s="39" t="s">
        <v>198</v>
      </c>
      <c r="H41" s="40" t="s">
        <v>185</v>
      </c>
      <c r="I41" s="40" t="s">
        <v>186</v>
      </c>
      <c r="J41" s="40" t="s">
        <v>187</v>
      </c>
      <c r="K41" s="40" t="s">
        <v>188</v>
      </c>
      <c r="L41" s="40" t="s">
        <v>189</v>
      </c>
      <c r="M41" s="40" t="s">
        <v>190</v>
      </c>
      <c r="N41" s="40" t="s">
        <v>191</v>
      </c>
      <c r="O41" s="40" t="s">
        <v>192</v>
      </c>
      <c r="P41" s="40" t="s">
        <v>193</v>
      </c>
      <c r="Q41" s="40" t="s">
        <v>194</v>
      </c>
      <c r="R41" s="40" t="s">
        <v>195</v>
      </c>
      <c r="S41" s="40" t="s">
        <v>196</v>
      </c>
      <c r="T41" s="68"/>
      <c r="U41" s="65"/>
    </row>
    <row r="42" spans="1:21" ht="17.25" customHeight="1" x14ac:dyDescent="0.2">
      <c r="A42" s="64"/>
      <c r="B42" s="72" t="s">
        <v>363</v>
      </c>
      <c r="C42" s="63">
        <v>640</v>
      </c>
      <c r="D42" s="74">
        <f>C42/0.8</f>
        <v>800</v>
      </c>
      <c r="E42" s="75" t="s">
        <v>182</v>
      </c>
      <c r="F42" s="76" t="s">
        <v>201</v>
      </c>
      <c r="G42" s="32" t="s">
        <v>184</v>
      </c>
      <c r="H42" s="34" t="s">
        <v>185</v>
      </c>
      <c r="I42" s="34" t="s">
        <v>186</v>
      </c>
      <c r="J42" s="34" t="s">
        <v>187</v>
      </c>
      <c r="K42" s="34" t="s">
        <v>188</v>
      </c>
      <c r="L42" s="34" t="s">
        <v>189</v>
      </c>
      <c r="M42" s="33" t="s">
        <v>190</v>
      </c>
      <c r="N42" s="33" t="s">
        <v>191</v>
      </c>
      <c r="O42" s="33" t="s">
        <v>192</v>
      </c>
      <c r="P42" s="33" t="s">
        <v>193</v>
      </c>
      <c r="Q42" s="33" t="s">
        <v>194</v>
      </c>
      <c r="R42" s="34" t="s">
        <v>195</v>
      </c>
      <c r="S42" s="34" t="s">
        <v>196</v>
      </c>
      <c r="T42" s="63" t="s">
        <v>197</v>
      </c>
      <c r="U42" s="64"/>
    </row>
    <row r="43" spans="1:21" ht="17.25" customHeight="1" x14ac:dyDescent="0.2">
      <c r="A43" s="64"/>
      <c r="B43" s="73"/>
      <c r="C43" s="63"/>
      <c r="D43" s="74"/>
      <c r="E43" s="75"/>
      <c r="F43" s="76"/>
      <c r="G43" s="35" t="s">
        <v>198</v>
      </c>
      <c r="H43" s="36" t="s">
        <v>185</v>
      </c>
      <c r="I43" s="36" t="s">
        <v>186</v>
      </c>
      <c r="J43" s="36" t="s">
        <v>187</v>
      </c>
      <c r="K43" s="36" t="s">
        <v>188</v>
      </c>
      <c r="L43" s="34" t="s">
        <v>189</v>
      </c>
      <c r="M43" s="34" t="s">
        <v>190</v>
      </c>
      <c r="N43" s="34" t="s">
        <v>191</v>
      </c>
      <c r="O43" s="34" t="s">
        <v>192</v>
      </c>
      <c r="P43" s="34" t="s">
        <v>193</v>
      </c>
      <c r="Q43" s="34" t="s">
        <v>194</v>
      </c>
      <c r="R43" s="34" t="s">
        <v>195</v>
      </c>
      <c r="S43" s="36" t="s">
        <v>196</v>
      </c>
      <c r="T43" s="63"/>
      <c r="U43" s="64"/>
    </row>
    <row r="44" spans="1:21" ht="17.25" customHeight="1" x14ac:dyDescent="0.2">
      <c r="A44" s="65"/>
      <c r="B44" s="66" t="s">
        <v>364</v>
      </c>
      <c r="C44" s="68">
        <v>1440</v>
      </c>
      <c r="D44" s="69">
        <f>C44/0.8</f>
        <v>1800</v>
      </c>
      <c r="E44" s="70" t="s">
        <v>182</v>
      </c>
      <c r="F44" s="71" t="s">
        <v>206</v>
      </c>
      <c r="G44" s="37" t="s">
        <v>184</v>
      </c>
      <c r="H44" s="41" t="s">
        <v>185</v>
      </c>
      <c r="I44" s="41" t="s">
        <v>186</v>
      </c>
      <c r="J44" s="41" t="s">
        <v>187</v>
      </c>
      <c r="K44" s="41" t="s">
        <v>188</v>
      </c>
      <c r="L44" s="41" t="s">
        <v>189</v>
      </c>
      <c r="M44" s="41" t="s">
        <v>190</v>
      </c>
      <c r="N44" s="41" t="s">
        <v>191</v>
      </c>
      <c r="O44" s="41" t="s">
        <v>192</v>
      </c>
      <c r="P44" s="38" t="s">
        <v>193</v>
      </c>
      <c r="Q44" s="38" t="s">
        <v>194</v>
      </c>
      <c r="R44" s="38" t="s">
        <v>195</v>
      </c>
      <c r="S44" s="38" t="s">
        <v>196</v>
      </c>
      <c r="T44" s="68" t="s">
        <v>197</v>
      </c>
      <c r="U44" s="65"/>
    </row>
    <row r="45" spans="1:21" ht="17.25" customHeight="1" x14ac:dyDescent="0.2">
      <c r="A45" s="65"/>
      <c r="B45" s="67"/>
      <c r="C45" s="68"/>
      <c r="D45" s="69"/>
      <c r="E45" s="70"/>
      <c r="F45" s="71"/>
      <c r="G45" s="39" t="s">
        <v>198</v>
      </c>
      <c r="H45" s="41" t="s">
        <v>185</v>
      </c>
      <c r="I45" s="41" t="s">
        <v>186</v>
      </c>
      <c r="J45" s="40" t="s">
        <v>187</v>
      </c>
      <c r="K45" s="40" t="s">
        <v>188</v>
      </c>
      <c r="L45" s="40" t="s">
        <v>189</v>
      </c>
      <c r="M45" s="40" t="s">
        <v>190</v>
      </c>
      <c r="N45" s="41" t="s">
        <v>191</v>
      </c>
      <c r="O45" s="41" t="s">
        <v>192</v>
      </c>
      <c r="P45" s="41" t="s">
        <v>193</v>
      </c>
      <c r="Q45" s="41" t="s">
        <v>194</v>
      </c>
      <c r="R45" s="41" t="s">
        <v>195</v>
      </c>
      <c r="S45" s="41" t="s">
        <v>196</v>
      </c>
      <c r="T45" s="68"/>
      <c r="U45" s="65"/>
    </row>
    <row r="46" spans="1:21" ht="17.25" customHeight="1" x14ac:dyDescent="0.2">
      <c r="A46" s="65"/>
      <c r="B46" s="66" t="s">
        <v>365</v>
      </c>
      <c r="C46" s="68">
        <v>720</v>
      </c>
      <c r="D46" s="69">
        <f>C46/0.8</f>
        <v>900</v>
      </c>
      <c r="E46" s="70" t="s">
        <v>182</v>
      </c>
      <c r="F46" s="71" t="s">
        <v>201</v>
      </c>
      <c r="G46" s="37" t="s">
        <v>184</v>
      </c>
      <c r="H46" s="41" t="s">
        <v>185</v>
      </c>
      <c r="I46" s="41" t="s">
        <v>186</v>
      </c>
      <c r="J46" s="41" t="s">
        <v>187</v>
      </c>
      <c r="K46" s="41" t="s">
        <v>188</v>
      </c>
      <c r="L46" s="41" t="s">
        <v>189</v>
      </c>
      <c r="M46" s="41" t="s">
        <v>190</v>
      </c>
      <c r="N46" s="38" t="s">
        <v>191</v>
      </c>
      <c r="O46" s="38" t="s">
        <v>192</v>
      </c>
      <c r="P46" s="38" t="s">
        <v>193</v>
      </c>
      <c r="Q46" s="41" t="s">
        <v>194</v>
      </c>
      <c r="R46" s="41" t="s">
        <v>195</v>
      </c>
      <c r="S46" s="41" t="s">
        <v>196</v>
      </c>
      <c r="T46" s="68" t="s">
        <v>197</v>
      </c>
      <c r="U46" s="65"/>
    </row>
    <row r="47" spans="1:21" ht="17.25" customHeight="1" x14ac:dyDescent="0.2">
      <c r="A47" s="65"/>
      <c r="B47" s="67"/>
      <c r="C47" s="68"/>
      <c r="D47" s="69"/>
      <c r="E47" s="70"/>
      <c r="F47" s="71"/>
      <c r="G47" s="39" t="s">
        <v>198</v>
      </c>
      <c r="H47" s="40" t="s">
        <v>185</v>
      </c>
      <c r="I47" s="40" t="s">
        <v>186</v>
      </c>
      <c r="J47" s="40" t="s">
        <v>187</v>
      </c>
      <c r="K47" s="41" t="s">
        <v>188</v>
      </c>
      <c r="L47" s="41" t="s">
        <v>189</v>
      </c>
      <c r="M47" s="41" t="s">
        <v>190</v>
      </c>
      <c r="N47" s="41" t="s">
        <v>191</v>
      </c>
      <c r="O47" s="41" t="s">
        <v>192</v>
      </c>
      <c r="P47" s="41" t="s">
        <v>193</v>
      </c>
      <c r="Q47" s="41" t="s">
        <v>194</v>
      </c>
      <c r="R47" s="41" t="s">
        <v>195</v>
      </c>
      <c r="S47" s="41" t="s">
        <v>196</v>
      </c>
      <c r="T47" s="68"/>
      <c r="U47" s="65"/>
    </row>
    <row r="48" spans="1:21" ht="17.25" customHeight="1" x14ac:dyDescent="0.2">
      <c r="A48" s="64"/>
      <c r="B48" s="72" t="s">
        <v>366</v>
      </c>
      <c r="C48" s="63">
        <v>800</v>
      </c>
      <c r="D48" s="74">
        <f>C48/0.8</f>
        <v>1000</v>
      </c>
      <c r="E48" s="75" t="s">
        <v>207</v>
      </c>
      <c r="F48" s="76" t="s">
        <v>201</v>
      </c>
      <c r="G48" s="32" t="s">
        <v>184</v>
      </c>
      <c r="H48" s="34" t="s">
        <v>185</v>
      </c>
      <c r="I48" s="34" t="s">
        <v>186</v>
      </c>
      <c r="J48" s="33" t="s">
        <v>187</v>
      </c>
      <c r="K48" s="33" t="s">
        <v>188</v>
      </c>
      <c r="L48" s="33" t="s">
        <v>189</v>
      </c>
      <c r="M48" s="33" t="s">
        <v>190</v>
      </c>
      <c r="N48" s="34" t="s">
        <v>191</v>
      </c>
      <c r="O48" s="34" t="s">
        <v>192</v>
      </c>
      <c r="P48" s="33" t="s">
        <v>193</v>
      </c>
      <c r="Q48" s="33" t="s">
        <v>194</v>
      </c>
      <c r="R48" s="33" t="s">
        <v>195</v>
      </c>
      <c r="S48" s="34" t="s">
        <v>196</v>
      </c>
      <c r="T48" s="63" t="s">
        <v>197</v>
      </c>
      <c r="U48" s="64"/>
    </row>
    <row r="49" spans="1:21" ht="17.25" customHeight="1" x14ac:dyDescent="0.2">
      <c r="A49" s="64"/>
      <c r="B49" s="73"/>
      <c r="C49" s="63"/>
      <c r="D49" s="74"/>
      <c r="E49" s="75"/>
      <c r="F49" s="76"/>
      <c r="G49" s="35" t="s">
        <v>198</v>
      </c>
      <c r="H49" s="34" t="s">
        <v>185</v>
      </c>
      <c r="I49" s="34" t="s">
        <v>186</v>
      </c>
      <c r="J49" s="36" t="s">
        <v>187</v>
      </c>
      <c r="K49" s="36" t="s">
        <v>188</v>
      </c>
      <c r="L49" s="36" t="s">
        <v>189</v>
      </c>
      <c r="M49" s="34" t="s">
        <v>190</v>
      </c>
      <c r="N49" s="34" t="s">
        <v>191</v>
      </c>
      <c r="O49" s="34" t="s">
        <v>192</v>
      </c>
      <c r="P49" s="36" t="s">
        <v>193</v>
      </c>
      <c r="Q49" s="36" t="s">
        <v>194</v>
      </c>
      <c r="R49" s="36" t="s">
        <v>195</v>
      </c>
      <c r="S49" s="36" t="s">
        <v>196</v>
      </c>
      <c r="T49" s="63"/>
      <c r="U49" s="64"/>
    </row>
    <row r="50" spans="1:21" ht="17.25" customHeight="1" x14ac:dyDescent="0.2">
      <c r="A50" s="65"/>
      <c r="B50" s="66" t="s">
        <v>367</v>
      </c>
      <c r="C50" s="68">
        <v>3040</v>
      </c>
      <c r="D50" s="69">
        <f>C50/0.8</f>
        <v>3800</v>
      </c>
      <c r="E50" s="70" t="s">
        <v>207</v>
      </c>
      <c r="F50" s="71" t="s">
        <v>201</v>
      </c>
      <c r="G50" s="37" t="s">
        <v>184</v>
      </c>
      <c r="H50" s="41" t="s">
        <v>185</v>
      </c>
      <c r="I50" s="41" t="s">
        <v>186</v>
      </c>
      <c r="J50" s="38" t="s">
        <v>187</v>
      </c>
      <c r="K50" s="38" t="s">
        <v>188</v>
      </c>
      <c r="L50" s="38" t="s">
        <v>189</v>
      </c>
      <c r="M50" s="38" t="s">
        <v>190</v>
      </c>
      <c r="N50" s="41" t="s">
        <v>191</v>
      </c>
      <c r="O50" s="41" t="s">
        <v>192</v>
      </c>
      <c r="P50" s="38" t="s">
        <v>193</v>
      </c>
      <c r="Q50" s="38" t="s">
        <v>194</v>
      </c>
      <c r="R50" s="38" t="s">
        <v>195</v>
      </c>
      <c r="S50" s="41" t="s">
        <v>196</v>
      </c>
      <c r="T50" s="68" t="s">
        <v>197</v>
      </c>
      <c r="U50" s="65"/>
    </row>
    <row r="51" spans="1:21" ht="17.25" customHeight="1" x14ac:dyDescent="0.2">
      <c r="A51" s="65"/>
      <c r="B51" s="67"/>
      <c r="C51" s="68"/>
      <c r="D51" s="69"/>
      <c r="E51" s="70"/>
      <c r="F51" s="71"/>
      <c r="G51" s="39" t="s">
        <v>198</v>
      </c>
      <c r="H51" s="41" t="s">
        <v>185</v>
      </c>
      <c r="I51" s="41" t="s">
        <v>186</v>
      </c>
      <c r="J51" s="40" t="s">
        <v>187</v>
      </c>
      <c r="K51" s="40" t="s">
        <v>188</v>
      </c>
      <c r="L51" s="40" t="s">
        <v>189</v>
      </c>
      <c r="M51" s="41" t="s">
        <v>190</v>
      </c>
      <c r="N51" s="41" t="s">
        <v>191</v>
      </c>
      <c r="O51" s="41" t="s">
        <v>192</v>
      </c>
      <c r="P51" s="40" t="s">
        <v>193</v>
      </c>
      <c r="Q51" s="40" t="s">
        <v>194</v>
      </c>
      <c r="R51" s="40" t="s">
        <v>195</v>
      </c>
      <c r="S51" s="40" t="s">
        <v>196</v>
      </c>
      <c r="T51" s="68"/>
      <c r="U51" s="65"/>
    </row>
    <row r="52" spans="1:21" ht="17.25" customHeight="1" x14ac:dyDescent="0.2">
      <c r="A52" s="64"/>
      <c r="B52" s="72" t="s">
        <v>368</v>
      </c>
      <c r="C52" s="63">
        <v>12000</v>
      </c>
      <c r="D52" s="74">
        <f>C52/0.8</f>
        <v>15000</v>
      </c>
      <c r="E52" s="75" t="s">
        <v>207</v>
      </c>
      <c r="F52" s="76" t="s">
        <v>201</v>
      </c>
      <c r="G52" s="32" t="s">
        <v>184</v>
      </c>
      <c r="H52" s="34" t="s">
        <v>185</v>
      </c>
      <c r="I52" s="34" t="s">
        <v>186</v>
      </c>
      <c r="J52" s="33" t="s">
        <v>187</v>
      </c>
      <c r="K52" s="33" t="s">
        <v>188</v>
      </c>
      <c r="L52" s="33" t="s">
        <v>189</v>
      </c>
      <c r="M52" s="34" t="s">
        <v>190</v>
      </c>
      <c r="N52" s="34" t="s">
        <v>191</v>
      </c>
      <c r="O52" s="34" t="s">
        <v>192</v>
      </c>
      <c r="P52" s="33" t="s">
        <v>193</v>
      </c>
      <c r="Q52" s="33" t="s">
        <v>194</v>
      </c>
      <c r="R52" s="33" t="s">
        <v>195</v>
      </c>
      <c r="S52" s="34" t="s">
        <v>196</v>
      </c>
      <c r="T52" s="63" t="s">
        <v>202</v>
      </c>
      <c r="U52" s="64"/>
    </row>
    <row r="53" spans="1:21" ht="17.25" customHeight="1" x14ac:dyDescent="0.2">
      <c r="A53" s="64"/>
      <c r="B53" s="73"/>
      <c r="C53" s="63"/>
      <c r="D53" s="74"/>
      <c r="E53" s="75"/>
      <c r="F53" s="76"/>
      <c r="G53" s="35" t="s">
        <v>198</v>
      </c>
      <c r="H53" s="34" t="s">
        <v>185</v>
      </c>
      <c r="I53" s="34" t="s">
        <v>186</v>
      </c>
      <c r="J53" s="36" t="s">
        <v>187</v>
      </c>
      <c r="K53" s="36" t="s">
        <v>188</v>
      </c>
      <c r="L53" s="36" t="s">
        <v>189</v>
      </c>
      <c r="M53" s="34" t="s">
        <v>190</v>
      </c>
      <c r="N53" s="34" t="s">
        <v>191</v>
      </c>
      <c r="O53" s="34" t="s">
        <v>192</v>
      </c>
      <c r="P53" s="36" t="s">
        <v>193</v>
      </c>
      <c r="Q53" s="36" t="s">
        <v>194</v>
      </c>
      <c r="R53" s="36" t="s">
        <v>195</v>
      </c>
      <c r="S53" s="34" t="s">
        <v>196</v>
      </c>
      <c r="T53" s="63"/>
      <c r="U53" s="64"/>
    </row>
    <row r="54" spans="1:21" ht="17.25" customHeight="1" x14ac:dyDescent="0.2">
      <c r="A54" s="65"/>
      <c r="B54" s="66" t="s">
        <v>369</v>
      </c>
      <c r="C54" s="68">
        <v>12000</v>
      </c>
      <c r="D54" s="69">
        <f>C54/0.8</f>
        <v>15000</v>
      </c>
      <c r="E54" s="70" t="s">
        <v>207</v>
      </c>
      <c r="F54" s="71" t="s">
        <v>206</v>
      </c>
      <c r="G54" s="37" t="s">
        <v>184</v>
      </c>
      <c r="H54" s="38" t="s">
        <v>185</v>
      </c>
      <c r="I54" s="38" t="s">
        <v>186</v>
      </c>
      <c r="J54" s="38" t="s">
        <v>187</v>
      </c>
      <c r="K54" s="41" t="s">
        <v>188</v>
      </c>
      <c r="L54" s="41" t="s">
        <v>189</v>
      </c>
      <c r="M54" s="41" t="s">
        <v>190</v>
      </c>
      <c r="N54" s="41" t="s">
        <v>191</v>
      </c>
      <c r="O54" s="41" t="s">
        <v>192</v>
      </c>
      <c r="P54" s="41" t="s">
        <v>193</v>
      </c>
      <c r="Q54" s="41" t="s">
        <v>194</v>
      </c>
      <c r="R54" s="41" t="s">
        <v>195</v>
      </c>
      <c r="S54" s="38" t="s">
        <v>196</v>
      </c>
      <c r="T54" s="68" t="s">
        <v>202</v>
      </c>
      <c r="U54" s="65"/>
    </row>
    <row r="55" spans="1:21" ht="17.25" customHeight="1" x14ac:dyDescent="0.2">
      <c r="A55" s="65"/>
      <c r="B55" s="67"/>
      <c r="C55" s="68"/>
      <c r="D55" s="69"/>
      <c r="E55" s="70"/>
      <c r="F55" s="71"/>
      <c r="G55" s="39" t="s">
        <v>198</v>
      </c>
      <c r="H55" s="41" t="s">
        <v>185</v>
      </c>
      <c r="I55" s="41" t="s">
        <v>186</v>
      </c>
      <c r="J55" s="41" t="s">
        <v>187</v>
      </c>
      <c r="K55" s="41" t="s">
        <v>188</v>
      </c>
      <c r="L55" s="41" t="s">
        <v>189</v>
      </c>
      <c r="M55" s="40" t="s">
        <v>190</v>
      </c>
      <c r="N55" s="40" t="s">
        <v>191</v>
      </c>
      <c r="O55" s="40" t="s">
        <v>192</v>
      </c>
      <c r="P55" s="40" t="s">
        <v>193</v>
      </c>
      <c r="Q55" s="41" t="s">
        <v>194</v>
      </c>
      <c r="R55" s="41" t="s">
        <v>195</v>
      </c>
      <c r="S55" s="41" t="s">
        <v>196</v>
      </c>
      <c r="T55" s="68"/>
      <c r="U55" s="65"/>
    </row>
    <row r="56" spans="1:21" ht="17.25" customHeight="1" x14ac:dyDescent="0.2">
      <c r="A56" s="64"/>
      <c r="B56" s="72" t="s">
        <v>370</v>
      </c>
      <c r="C56" s="63">
        <v>560</v>
      </c>
      <c r="D56" s="74">
        <f>C56/0.8</f>
        <v>700</v>
      </c>
      <c r="E56" s="75" t="s">
        <v>208</v>
      </c>
      <c r="F56" s="76" t="s">
        <v>204</v>
      </c>
      <c r="G56" s="32" t="s">
        <v>184</v>
      </c>
      <c r="H56" s="34" t="s">
        <v>185</v>
      </c>
      <c r="I56" s="34" t="s">
        <v>186</v>
      </c>
      <c r="J56" s="34" t="s">
        <v>187</v>
      </c>
      <c r="K56" s="34" t="s">
        <v>188</v>
      </c>
      <c r="L56" s="34" t="s">
        <v>189</v>
      </c>
      <c r="M56" s="34" t="s">
        <v>190</v>
      </c>
      <c r="N56" s="34" t="s">
        <v>191</v>
      </c>
      <c r="O56" s="34" t="s">
        <v>192</v>
      </c>
      <c r="P56" s="33" t="s">
        <v>193</v>
      </c>
      <c r="Q56" s="34" t="s">
        <v>194</v>
      </c>
      <c r="R56" s="34" t="s">
        <v>195</v>
      </c>
      <c r="S56" s="34" t="s">
        <v>196</v>
      </c>
      <c r="T56" s="63" t="s">
        <v>197</v>
      </c>
      <c r="U56" s="64"/>
    </row>
    <row r="57" spans="1:21" ht="17.25" customHeight="1" x14ac:dyDescent="0.2">
      <c r="A57" s="64"/>
      <c r="B57" s="73"/>
      <c r="C57" s="63"/>
      <c r="D57" s="74"/>
      <c r="E57" s="75"/>
      <c r="F57" s="76"/>
      <c r="G57" s="35" t="s">
        <v>198</v>
      </c>
      <c r="H57" s="34" t="s">
        <v>185</v>
      </c>
      <c r="I57" s="34" t="s">
        <v>186</v>
      </c>
      <c r="J57" s="36" t="s">
        <v>187</v>
      </c>
      <c r="K57" s="34" t="s">
        <v>188</v>
      </c>
      <c r="L57" s="34" t="s">
        <v>189</v>
      </c>
      <c r="M57" s="34" t="s">
        <v>190</v>
      </c>
      <c r="N57" s="34" t="s">
        <v>191</v>
      </c>
      <c r="O57" s="34" t="s">
        <v>192</v>
      </c>
      <c r="P57" s="34" t="s">
        <v>193</v>
      </c>
      <c r="Q57" s="34" t="s">
        <v>194</v>
      </c>
      <c r="R57" s="34" t="s">
        <v>195</v>
      </c>
      <c r="S57" s="34" t="s">
        <v>196</v>
      </c>
      <c r="T57" s="63"/>
      <c r="U57" s="64"/>
    </row>
    <row r="58" spans="1:21" ht="17.25" customHeight="1" x14ac:dyDescent="0.2">
      <c r="A58" s="65"/>
      <c r="B58" s="66" t="s">
        <v>371</v>
      </c>
      <c r="C58" s="68">
        <v>1440</v>
      </c>
      <c r="D58" s="69">
        <f>C58/0.8</f>
        <v>1800</v>
      </c>
      <c r="E58" s="70" t="s">
        <v>208</v>
      </c>
      <c r="F58" s="71" t="s">
        <v>206</v>
      </c>
      <c r="G58" s="37" t="s">
        <v>184</v>
      </c>
      <c r="H58" s="41" t="s">
        <v>185</v>
      </c>
      <c r="I58" s="41" t="s">
        <v>186</v>
      </c>
      <c r="J58" s="41" t="s">
        <v>187</v>
      </c>
      <c r="K58" s="41" t="s">
        <v>188</v>
      </c>
      <c r="L58" s="41" t="s">
        <v>189</v>
      </c>
      <c r="M58" s="41" t="s">
        <v>190</v>
      </c>
      <c r="N58" s="41" t="s">
        <v>191</v>
      </c>
      <c r="O58" s="41" t="s">
        <v>192</v>
      </c>
      <c r="P58" s="38" t="s">
        <v>193</v>
      </c>
      <c r="Q58" s="41" t="s">
        <v>194</v>
      </c>
      <c r="R58" s="41" t="s">
        <v>195</v>
      </c>
      <c r="S58" s="41" t="s">
        <v>196</v>
      </c>
      <c r="T58" s="68" t="s">
        <v>197</v>
      </c>
      <c r="U58" s="65"/>
    </row>
    <row r="59" spans="1:21" ht="17.25" customHeight="1" x14ac:dyDescent="0.2">
      <c r="A59" s="65"/>
      <c r="B59" s="67"/>
      <c r="C59" s="68"/>
      <c r="D59" s="69"/>
      <c r="E59" s="70"/>
      <c r="F59" s="71"/>
      <c r="G59" s="39" t="s">
        <v>198</v>
      </c>
      <c r="H59" s="41" t="s">
        <v>185</v>
      </c>
      <c r="I59" s="41" t="s">
        <v>186</v>
      </c>
      <c r="J59" s="40" t="s">
        <v>187</v>
      </c>
      <c r="K59" s="41" t="s">
        <v>188</v>
      </c>
      <c r="L59" s="41" t="s">
        <v>189</v>
      </c>
      <c r="M59" s="41" t="s">
        <v>190</v>
      </c>
      <c r="N59" s="41" t="s">
        <v>191</v>
      </c>
      <c r="O59" s="41" t="s">
        <v>192</v>
      </c>
      <c r="P59" s="41" t="s">
        <v>193</v>
      </c>
      <c r="Q59" s="41" t="s">
        <v>194</v>
      </c>
      <c r="R59" s="41" t="s">
        <v>195</v>
      </c>
      <c r="S59" s="41" t="s">
        <v>196</v>
      </c>
      <c r="T59" s="68"/>
      <c r="U59" s="65"/>
    </row>
    <row r="60" spans="1:21" ht="17.25" customHeight="1" x14ac:dyDescent="0.2">
      <c r="A60" s="64"/>
      <c r="B60" s="72" t="s">
        <v>372</v>
      </c>
      <c r="C60" s="63">
        <v>1600</v>
      </c>
      <c r="D60" s="74">
        <f>C60/0.8</f>
        <v>2000</v>
      </c>
      <c r="E60" s="75" t="s">
        <v>182</v>
      </c>
      <c r="F60" s="76" t="s">
        <v>200</v>
      </c>
      <c r="G60" s="32" t="s">
        <v>184</v>
      </c>
      <c r="H60" s="34" t="s">
        <v>185</v>
      </c>
      <c r="I60" s="34" t="s">
        <v>186</v>
      </c>
      <c r="J60" s="34" t="s">
        <v>187</v>
      </c>
      <c r="K60" s="34" t="s">
        <v>188</v>
      </c>
      <c r="L60" s="34" t="s">
        <v>189</v>
      </c>
      <c r="M60" s="34" t="s">
        <v>190</v>
      </c>
      <c r="N60" s="34" t="s">
        <v>191</v>
      </c>
      <c r="O60" s="34" t="s">
        <v>192</v>
      </c>
      <c r="P60" s="33" t="s">
        <v>193</v>
      </c>
      <c r="Q60" s="33" t="s">
        <v>194</v>
      </c>
      <c r="R60" s="33" t="s">
        <v>195</v>
      </c>
      <c r="S60" s="34" t="s">
        <v>196</v>
      </c>
      <c r="T60" s="63" t="s">
        <v>202</v>
      </c>
      <c r="U60" s="64"/>
    </row>
    <row r="61" spans="1:21" ht="17.25" customHeight="1" x14ac:dyDescent="0.2">
      <c r="A61" s="64"/>
      <c r="B61" s="73"/>
      <c r="C61" s="63"/>
      <c r="D61" s="74"/>
      <c r="E61" s="75"/>
      <c r="F61" s="76"/>
      <c r="G61" s="35" t="s">
        <v>198</v>
      </c>
      <c r="H61" s="34" t="s">
        <v>185</v>
      </c>
      <c r="I61" s="36" t="s">
        <v>186</v>
      </c>
      <c r="J61" s="36" t="s">
        <v>187</v>
      </c>
      <c r="K61" s="36" t="s">
        <v>188</v>
      </c>
      <c r="L61" s="34" t="s">
        <v>189</v>
      </c>
      <c r="M61" s="34" t="s">
        <v>190</v>
      </c>
      <c r="N61" s="34" t="s">
        <v>191</v>
      </c>
      <c r="O61" s="34" t="s">
        <v>192</v>
      </c>
      <c r="P61" s="34" t="s">
        <v>193</v>
      </c>
      <c r="Q61" s="34" t="s">
        <v>194</v>
      </c>
      <c r="R61" s="34" t="s">
        <v>195</v>
      </c>
      <c r="S61" s="34" t="s">
        <v>196</v>
      </c>
      <c r="T61" s="63"/>
      <c r="U61" s="64"/>
    </row>
    <row r="62" spans="1:21" ht="17.25" customHeight="1" x14ac:dyDescent="0.2">
      <c r="A62" s="65"/>
      <c r="B62" s="66" t="s">
        <v>373</v>
      </c>
      <c r="C62" s="68">
        <v>1040</v>
      </c>
      <c r="D62" s="69">
        <f>C62/0.8</f>
        <v>1300</v>
      </c>
      <c r="E62" s="70" t="s">
        <v>182</v>
      </c>
      <c r="F62" s="71" t="s">
        <v>183</v>
      </c>
      <c r="G62" s="37" t="s">
        <v>184</v>
      </c>
      <c r="H62" s="41" t="s">
        <v>185</v>
      </c>
      <c r="I62" s="41" t="s">
        <v>186</v>
      </c>
      <c r="J62" s="41" t="s">
        <v>187</v>
      </c>
      <c r="K62" s="38" t="s">
        <v>188</v>
      </c>
      <c r="L62" s="38" t="s">
        <v>189</v>
      </c>
      <c r="M62" s="38" t="s">
        <v>190</v>
      </c>
      <c r="N62" s="38" t="s">
        <v>191</v>
      </c>
      <c r="O62" s="38" t="s">
        <v>192</v>
      </c>
      <c r="P62" s="38" t="s">
        <v>193</v>
      </c>
      <c r="Q62" s="38" t="s">
        <v>194</v>
      </c>
      <c r="R62" s="38" t="s">
        <v>195</v>
      </c>
      <c r="S62" s="41" t="s">
        <v>196</v>
      </c>
      <c r="T62" s="68" t="s">
        <v>199</v>
      </c>
      <c r="U62" s="65"/>
    </row>
    <row r="63" spans="1:21" ht="17.25" customHeight="1" x14ac:dyDescent="0.2">
      <c r="A63" s="65"/>
      <c r="B63" s="67"/>
      <c r="C63" s="68"/>
      <c r="D63" s="69"/>
      <c r="E63" s="70"/>
      <c r="F63" s="71"/>
      <c r="G63" s="39" t="s">
        <v>198</v>
      </c>
      <c r="H63" s="40" t="s">
        <v>185</v>
      </c>
      <c r="I63" s="40" t="s">
        <v>186</v>
      </c>
      <c r="J63" s="40" t="s">
        <v>187</v>
      </c>
      <c r="K63" s="40" t="s">
        <v>188</v>
      </c>
      <c r="L63" s="40" t="s">
        <v>189</v>
      </c>
      <c r="M63" s="41" t="s">
        <v>190</v>
      </c>
      <c r="N63" s="41" t="s">
        <v>191</v>
      </c>
      <c r="O63" s="41" t="s">
        <v>192</v>
      </c>
      <c r="P63" s="41" t="s">
        <v>193</v>
      </c>
      <c r="Q63" s="40" t="s">
        <v>194</v>
      </c>
      <c r="R63" s="40" t="s">
        <v>195</v>
      </c>
      <c r="S63" s="40" t="s">
        <v>196</v>
      </c>
      <c r="T63" s="68"/>
      <c r="U63" s="65"/>
    </row>
    <row r="64" spans="1:21" ht="17.25" customHeight="1" x14ac:dyDescent="0.2">
      <c r="A64" s="64"/>
      <c r="B64" s="72" t="s">
        <v>374</v>
      </c>
      <c r="C64" s="63">
        <v>1200</v>
      </c>
      <c r="D64" s="74">
        <f>C64/0.8</f>
        <v>1500</v>
      </c>
      <c r="E64" s="75" t="s">
        <v>182</v>
      </c>
      <c r="F64" s="76" t="s">
        <v>183</v>
      </c>
      <c r="G64" s="32" t="s">
        <v>184</v>
      </c>
      <c r="H64" s="34" t="s">
        <v>185</v>
      </c>
      <c r="I64" s="34" t="s">
        <v>186</v>
      </c>
      <c r="J64" s="34" t="s">
        <v>187</v>
      </c>
      <c r="K64" s="34" t="s">
        <v>188</v>
      </c>
      <c r="L64" s="33" t="s">
        <v>189</v>
      </c>
      <c r="M64" s="33" t="s">
        <v>190</v>
      </c>
      <c r="N64" s="33" t="s">
        <v>191</v>
      </c>
      <c r="O64" s="33" t="s">
        <v>192</v>
      </c>
      <c r="P64" s="33" t="s">
        <v>193</v>
      </c>
      <c r="Q64" s="34" t="s">
        <v>194</v>
      </c>
      <c r="R64" s="34" t="s">
        <v>195</v>
      </c>
      <c r="S64" s="34" t="s">
        <v>196</v>
      </c>
      <c r="T64" s="63" t="s">
        <v>199</v>
      </c>
      <c r="U64" s="64"/>
    </row>
    <row r="65" spans="1:21" ht="17.25" customHeight="1" x14ac:dyDescent="0.2">
      <c r="A65" s="64"/>
      <c r="B65" s="73"/>
      <c r="C65" s="63"/>
      <c r="D65" s="74"/>
      <c r="E65" s="75"/>
      <c r="F65" s="76"/>
      <c r="G65" s="35" t="s">
        <v>198</v>
      </c>
      <c r="H65" s="36" t="s">
        <v>185</v>
      </c>
      <c r="I65" s="36" t="s">
        <v>186</v>
      </c>
      <c r="J65" s="36" t="s">
        <v>187</v>
      </c>
      <c r="K65" s="34" t="s">
        <v>188</v>
      </c>
      <c r="L65" s="34" t="s">
        <v>189</v>
      </c>
      <c r="M65" s="34" t="s">
        <v>190</v>
      </c>
      <c r="N65" s="34" t="s">
        <v>191</v>
      </c>
      <c r="O65" s="34" t="s">
        <v>192</v>
      </c>
      <c r="P65" s="34" t="s">
        <v>193</v>
      </c>
      <c r="Q65" s="34" t="s">
        <v>194</v>
      </c>
      <c r="R65" s="36" t="s">
        <v>195</v>
      </c>
      <c r="S65" s="36" t="s">
        <v>196</v>
      </c>
      <c r="T65" s="63"/>
      <c r="U65" s="64"/>
    </row>
    <row r="66" spans="1:21" ht="17.25" customHeight="1" x14ac:dyDescent="0.2">
      <c r="A66" s="65"/>
      <c r="B66" s="66" t="s">
        <v>375</v>
      </c>
      <c r="C66" s="68">
        <v>2400</v>
      </c>
      <c r="D66" s="69">
        <f>C66/0.8</f>
        <v>3000</v>
      </c>
      <c r="E66" s="70" t="s">
        <v>182</v>
      </c>
      <c r="F66" s="71" t="s">
        <v>200</v>
      </c>
      <c r="G66" s="37" t="s">
        <v>184</v>
      </c>
      <c r="H66" s="41" t="s">
        <v>185</v>
      </c>
      <c r="I66" s="41" t="s">
        <v>186</v>
      </c>
      <c r="J66" s="41" t="s">
        <v>187</v>
      </c>
      <c r="K66" s="41" t="s">
        <v>188</v>
      </c>
      <c r="L66" s="38" t="s">
        <v>189</v>
      </c>
      <c r="M66" s="38" t="s">
        <v>190</v>
      </c>
      <c r="N66" s="38" t="s">
        <v>191</v>
      </c>
      <c r="O66" s="38" t="s">
        <v>192</v>
      </c>
      <c r="P66" s="38" t="s">
        <v>193</v>
      </c>
      <c r="Q66" s="38" t="s">
        <v>194</v>
      </c>
      <c r="R66" s="41" t="s">
        <v>195</v>
      </c>
      <c r="S66" s="41" t="s">
        <v>196</v>
      </c>
      <c r="T66" s="68" t="s">
        <v>202</v>
      </c>
      <c r="U66" s="65"/>
    </row>
    <row r="67" spans="1:21" ht="17.25" customHeight="1" x14ac:dyDescent="0.2">
      <c r="A67" s="65"/>
      <c r="B67" s="67"/>
      <c r="C67" s="68"/>
      <c r="D67" s="69"/>
      <c r="E67" s="70"/>
      <c r="F67" s="71"/>
      <c r="G67" s="39" t="s">
        <v>198</v>
      </c>
      <c r="H67" s="40" t="s">
        <v>185</v>
      </c>
      <c r="I67" s="40" t="s">
        <v>186</v>
      </c>
      <c r="J67" s="40" t="s">
        <v>187</v>
      </c>
      <c r="K67" s="40" t="s">
        <v>188</v>
      </c>
      <c r="L67" s="41" t="s">
        <v>189</v>
      </c>
      <c r="M67" s="41" t="s">
        <v>190</v>
      </c>
      <c r="N67" s="41" t="s">
        <v>191</v>
      </c>
      <c r="O67" s="41" t="s">
        <v>192</v>
      </c>
      <c r="P67" s="41" t="s">
        <v>193</v>
      </c>
      <c r="Q67" s="41" t="s">
        <v>194</v>
      </c>
      <c r="R67" s="40" t="s">
        <v>195</v>
      </c>
      <c r="S67" s="40" t="s">
        <v>196</v>
      </c>
      <c r="T67" s="68"/>
      <c r="U67" s="65"/>
    </row>
    <row r="68" spans="1:21" ht="17.25" customHeight="1" x14ac:dyDescent="0.2">
      <c r="A68" s="64"/>
      <c r="B68" s="72" t="s">
        <v>376</v>
      </c>
      <c r="C68" s="63">
        <v>2000</v>
      </c>
      <c r="D68" s="74">
        <f>C68/0.8</f>
        <v>2500</v>
      </c>
      <c r="E68" s="75" t="s">
        <v>182</v>
      </c>
      <c r="F68" s="76" t="s">
        <v>200</v>
      </c>
      <c r="G68" s="32" t="s">
        <v>184</v>
      </c>
      <c r="H68" s="34" t="s">
        <v>185</v>
      </c>
      <c r="I68" s="34" t="s">
        <v>186</v>
      </c>
      <c r="J68" s="34" t="s">
        <v>187</v>
      </c>
      <c r="K68" s="34" t="s">
        <v>188</v>
      </c>
      <c r="L68" s="33" t="s">
        <v>189</v>
      </c>
      <c r="M68" s="33" t="s">
        <v>190</v>
      </c>
      <c r="N68" s="33" t="s">
        <v>191</v>
      </c>
      <c r="O68" s="33" t="s">
        <v>192</v>
      </c>
      <c r="P68" s="33" t="s">
        <v>193</v>
      </c>
      <c r="Q68" s="33" t="s">
        <v>194</v>
      </c>
      <c r="R68" s="34" t="s">
        <v>195</v>
      </c>
      <c r="S68" s="34" t="s">
        <v>196</v>
      </c>
      <c r="T68" s="63" t="s">
        <v>199</v>
      </c>
      <c r="U68" s="64"/>
    </row>
    <row r="69" spans="1:21" ht="17.25" customHeight="1" x14ac:dyDescent="0.2">
      <c r="A69" s="64"/>
      <c r="B69" s="73"/>
      <c r="C69" s="63"/>
      <c r="D69" s="74"/>
      <c r="E69" s="75"/>
      <c r="F69" s="76"/>
      <c r="G69" s="35" t="s">
        <v>198</v>
      </c>
      <c r="H69" s="36" t="s">
        <v>185</v>
      </c>
      <c r="I69" s="36" t="s">
        <v>186</v>
      </c>
      <c r="J69" s="36" t="s">
        <v>187</v>
      </c>
      <c r="K69" s="36" t="s">
        <v>188</v>
      </c>
      <c r="L69" s="34" t="s">
        <v>189</v>
      </c>
      <c r="M69" s="34" t="s">
        <v>190</v>
      </c>
      <c r="N69" s="34" t="s">
        <v>191</v>
      </c>
      <c r="O69" s="34" t="s">
        <v>192</v>
      </c>
      <c r="P69" s="34" t="s">
        <v>193</v>
      </c>
      <c r="Q69" s="34" t="s">
        <v>194</v>
      </c>
      <c r="R69" s="36" t="s">
        <v>195</v>
      </c>
      <c r="S69" s="36" t="s">
        <v>196</v>
      </c>
      <c r="T69" s="63"/>
      <c r="U69" s="64"/>
    </row>
    <row r="70" spans="1:21" ht="17.25" customHeight="1" x14ac:dyDescent="0.2">
      <c r="A70" s="65"/>
      <c r="B70" s="66" t="s">
        <v>377</v>
      </c>
      <c r="C70" s="68">
        <v>400</v>
      </c>
      <c r="D70" s="69">
        <f>C70/0.8</f>
        <v>500</v>
      </c>
      <c r="E70" s="70" t="s">
        <v>182</v>
      </c>
      <c r="F70" s="71" t="s">
        <v>183</v>
      </c>
      <c r="G70" s="37" t="s">
        <v>184</v>
      </c>
      <c r="H70" s="41" t="s">
        <v>185</v>
      </c>
      <c r="I70" s="41" t="s">
        <v>186</v>
      </c>
      <c r="J70" s="41" t="s">
        <v>187</v>
      </c>
      <c r="K70" s="38" t="s">
        <v>188</v>
      </c>
      <c r="L70" s="38" t="s">
        <v>189</v>
      </c>
      <c r="M70" s="38" t="s">
        <v>190</v>
      </c>
      <c r="N70" s="38" t="s">
        <v>191</v>
      </c>
      <c r="O70" s="38" t="s">
        <v>192</v>
      </c>
      <c r="P70" s="38" t="s">
        <v>193</v>
      </c>
      <c r="Q70" s="38" t="s">
        <v>194</v>
      </c>
      <c r="R70" s="38" t="s">
        <v>195</v>
      </c>
      <c r="S70" s="41" t="s">
        <v>196</v>
      </c>
      <c r="T70" s="68" t="s">
        <v>199</v>
      </c>
      <c r="U70" s="65"/>
    </row>
    <row r="71" spans="1:21" ht="17.25" customHeight="1" x14ac:dyDescent="0.2">
      <c r="A71" s="65"/>
      <c r="B71" s="67"/>
      <c r="C71" s="68"/>
      <c r="D71" s="69"/>
      <c r="E71" s="70"/>
      <c r="F71" s="71"/>
      <c r="G71" s="39" t="s">
        <v>198</v>
      </c>
      <c r="H71" s="40" t="s">
        <v>185</v>
      </c>
      <c r="I71" s="40" t="s">
        <v>186</v>
      </c>
      <c r="J71" s="40" t="s">
        <v>187</v>
      </c>
      <c r="K71" s="40" t="s">
        <v>188</v>
      </c>
      <c r="L71" s="40" t="s">
        <v>189</v>
      </c>
      <c r="M71" s="41" t="s">
        <v>190</v>
      </c>
      <c r="N71" s="41" t="s">
        <v>191</v>
      </c>
      <c r="O71" s="41" t="s">
        <v>192</v>
      </c>
      <c r="P71" s="41" t="s">
        <v>193</v>
      </c>
      <c r="Q71" s="40" t="s">
        <v>194</v>
      </c>
      <c r="R71" s="40" t="s">
        <v>195</v>
      </c>
      <c r="S71" s="40" t="s">
        <v>196</v>
      </c>
      <c r="T71" s="68"/>
      <c r="U71" s="65"/>
    </row>
    <row r="72" spans="1:21" ht="17.25" customHeight="1" x14ac:dyDescent="0.2">
      <c r="A72" s="64"/>
      <c r="B72" s="72" t="s">
        <v>378</v>
      </c>
      <c r="C72" s="63">
        <v>640</v>
      </c>
      <c r="D72" s="74">
        <f>C72/0.8</f>
        <v>800</v>
      </c>
      <c r="E72" s="75" t="s">
        <v>182</v>
      </c>
      <c r="F72" s="76" t="s">
        <v>200</v>
      </c>
      <c r="G72" s="32" t="s">
        <v>184</v>
      </c>
      <c r="H72" s="34" t="s">
        <v>185</v>
      </c>
      <c r="I72" s="34" t="s">
        <v>186</v>
      </c>
      <c r="J72" s="34" t="s">
        <v>187</v>
      </c>
      <c r="K72" s="34" t="s">
        <v>188</v>
      </c>
      <c r="L72" s="33" t="s">
        <v>189</v>
      </c>
      <c r="M72" s="33" t="s">
        <v>190</v>
      </c>
      <c r="N72" s="33" t="s">
        <v>191</v>
      </c>
      <c r="O72" s="33" t="s">
        <v>192</v>
      </c>
      <c r="P72" s="33" t="s">
        <v>193</v>
      </c>
      <c r="Q72" s="33" t="s">
        <v>194</v>
      </c>
      <c r="R72" s="34" t="s">
        <v>195</v>
      </c>
      <c r="S72" s="34" t="s">
        <v>196</v>
      </c>
      <c r="T72" s="63" t="s">
        <v>199</v>
      </c>
      <c r="U72" s="64"/>
    </row>
    <row r="73" spans="1:21" ht="17.25" customHeight="1" x14ac:dyDescent="0.2">
      <c r="A73" s="64"/>
      <c r="B73" s="73"/>
      <c r="C73" s="63"/>
      <c r="D73" s="74"/>
      <c r="E73" s="75"/>
      <c r="F73" s="76"/>
      <c r="G73" s="35" t="s">
        <v>198</v>
      </c>
      <c r="H73" s="36" t="s">
        <v>185</v>
      </c>
      <c r="I73" s="36" t="s">
        <v>186</v>
      </c>
      <c r="J73" s="36" t="s">
        <v>187</v>
      </c>
      <c r="K73" s="36" t="s">
        <v>188</v>
      </c>
      <c r="L73" s="34" t="s">
        <v>189</v>
      </c>
      <c r="M73" s="34" t="s">
        <v>190</v>
      </c>
      <c r="N73" s="34" t="s">
        <v>191</v>
      </c>
      <c r="O73" s="34" t="s">
        <v>192</v>
      </c>
      <c r="P73" s="34" t="s">
        <v>193</v>
      </c>
      <c r="Q73" s="34" t="s">
        <v>194</v>
      </c>
      <c r="R73" s="36" t="s">
        <v>195</v>
      </c>
      <c r="S73" s="36" t="s">
        <v>196</v>
      </c>
      <c r="T73" s="63"/>
      <c r="U73" s="64"/>
    </row>
    <row r="74" spans="1:21" ht="17.25" customHeight="1" x14ac:dyDescent="0.2">
      <c r="A74" s="65"/>
      <c r="B74" s="66" t="s">
        <v>379</v>
      </c>
      <c r="C74" s="68">
        <v>2000</v>
      </c>
      <c r="D74" s="69">
        <f>C74/0.8</f>
        <v>2500</v>
      </c>
      <c r="E74" s="70" t="s">
        <v>182</v>
      </c>
      <c r="F74" s="71" t="s">
        <v>200</v>
      </c>
      <c r="G74" s="37" t="s">
        <v>184</v>
      </c>
      <c r="H74" s="41" t="s">
        <v>185</v>
      </c>
      <c r="I74" s="41" t="s">
        <v>186</v>
      </c>
      <c r="J74" s="41" t="s">
        <v>187</v>
      </c>
      <c r="K74" s="41" t="s">
        <v>188</v>
      </c>
      <c r="L74" s="41" t="s">
        <v>189</v>
      </c>
      <c r="M74" s="38" t="s">
        <v>190</v>
      </c>
      <c r="N74" s="38" t="s">
        <v>191</v>
      </c>
      <c r="O74" s="38" t="s">
        <v>192</v>
      </c>
      <c r="P74" s="38" t="s">
        <v>193</v>
      </c>
      <c r="Q74" s="41" t="s">
        <v>194</v>
      </c>
      <c r="R74" s="41" t="s">
        <v>195</v>
      </c>
      <c r="S74" s="41" t="s">
        <v>196</v>
      </c>
      <c r="T74" s="68" t="s">
        <v>209</v>
      </c>
      <c r="U74" s="65"/>
    </row>
    <row r="75" spans="1:21" ht="17.25" customHeight="1" x14ac:dyDescent="0.2">
      <c r="A75" s="65"/>
      <c r="B75" s="67"/>
      <c r="C75" s="68"/>
      <c r="D75" s="69"/>
      <c r="E75" s="70"/>
      <c r="F75" s="71"/>
      <c r="G75" s="39" t="s">
        <v>198</v>
      </c>
      <c r="H75" s="40" t="s">
        <v>185</v>
      </c>
      <c r="I75" s="40" t="s">
        <v>186</v>
      </c>
      <c r="J75" s="40" t="s">
        <v>187</v>
      </c>
      <c r="K75" s="41" t="s">
        <v>188</v>
      </c>
      <c r="L75" s="41" t="s">
        <v>189</v>
      </c>
      <c r="M75" s="41" t="s">
        <v>190</v>
      </c>
      <c r="N75" s="41" t="s">
        <v>191</v>
      </c>
      <c r="O75" s="41" t="s">
        <v>192</v>
      </c>
      <c r="P75" s="41" t="s">
        <v>193</v>
      </c>
      <c r="Q75" s="41" t="s">
        <v>194</v>
      </c>
      <c r="R75" s="41" t="s">
        <v>195</v>
      </c>
      <c r="S75" s="40" t="s">
        <v>196</v>
      </c>
      <c r="T75" s="68"/>
      <c r="U75" s="65"/>
    </row>
    <row r="76" spans="1:21" ht="17.25" customHeight="1" x14ac:dyDescent="0.2">
      <c r="A76" s="64"/>
      <c r="B76" s="72" t="s">
        <v>380</v>
      </c>
      <c r="C76" s="63">
        <v>8000</v>
      </c>
      <c r="D76" s="74">
        <f>C76/0.8</f>
        <v>10000</v>
      </c>
      <c r="E76" s="75" t="s">
        <v>182</v>
      </c>
      <c r="F76" s="76" t="s">
        <v>204</v>
      </c>
      <c r="G76" s="32" t="s">
        <v>184</v>
      </c>
      <c r="H76" s="34" t="s">
        <v>185</v>
      </c>
      <c r="I76" s="34" t="s">
        <v>186</v>
      </c>
      <c r="J76" s="34" t="s">
        <v>187</v>
      </c>
      <c r="K76" s="34" t="s">
        <v>188</v>
      </c>
      <c r="L76" s="34" t="s">
        <v>189</v>
      </c>
      <c r="M76" s="33" t="s">
        <v>190</v>
      </c>
      <c r="N76" s="33" t="s">
        <v>191</v>
      </c>
      <c r="O76" s="33" t="s">
        <v>192</v>
      </c>
      <c r="P76" s="33" t="s">
        <v>193</v>
      </c>
      <c r="Q76" s="34" t="s">
        <v>194</v>
      </c>
      <c r="R76" s="34" t="s">
        <v>195</v>
      </c>
      <c r="S76" s="34" t="s">
        <v>196</v>
      </c>
      <c r="T76" s="63" t="s">
        <v>202</v>
      </c>
      <c r="U76" s="64"/>
    </row>
    <row r="77" spans="1:21" ht="17.25" customHeight="1" x14ac:dyDescent="0.2">
      <c r="A77" s="64"/>
      <c r="B77" s="73"/>
      <c r="C77" s="63"/>
      <c r="D77" s="74"/>
      <c r="E77" s="75"/>
      <c r="F77" s="76"/>
      <c r="G77" s="35" t="s">
        <v>198</v>
      </c>
      <c r="H77" s="36" t="s">
        <v>185</v>
      </c>
      <c r="I77" s="36" t="s">
        <v>186</v>
      </c>
      <c r="J77" s="36" t="s">
        <v>187</v>
      </c>
      <c r="K77" s="34" t="s">
        <v>188</v>
      </c>
      <c r="L77" s="34" t="s">
        <v>189</v>
      </c>
      <c r="M77" s="34" t="s">
        <v>190</v>
      </c>
      <c r="N77" s="34" t="s">
        <v>191</v>
      </c>
      <c r="O77" s="34" t="s">
        <v>192</v>
      </c>
      <c r="P77" s="34" t="s">
        <v>193</v>
      </c>
      <c r="Q77" s="34" t="s">
        <v>194</v>
      </c>
      <c r="R77" s="34" t="s">
        <v>195</v>
      </c>
      <c r="S77" s="36" t="s">
        <v>196</v>
      </c>
      <c r="T77" s="63"/>
      <c r="U77" s="64"/>
    </row>
    <row r="78" spans="1:21" ht="17.25" customHeight="1" x14ac:dyDescent="0.2">
      <c r="A78" s="65"/>
      <c r="B78" s="66" t="s">
        <v>381</v>
      </c>
      <c r="C78" s="68">
        <v>12000</v>
      </c>
      <c r="D78" s="69">
        <f>C78/0.8</f>
        <v>15000</v>
      </c>
      <c r="E78" s="70" t="s">
        <v>182</v>
      </c>
      <c r="F78" s="71" t="s">
        <v>206</v>
      </c>
      <c r="G78" s="37" t="s">
        <v>184</v>
      </c>
      <c r="H78" s="41" t="s">
        <v>185</v>
      </c>
      <c r="I78" s="41" t="s">
        <v>186</v>
      </c>
      <c r="J78" s="41" t="s">
        <v>187</v>
      </c>
      <c r="K78" s="41" t="s">
        <v>188</v>
      </c>
      <c r="L78" s="41" t="s">
        <v>189</v>
      </c>
      <c r="M78" s="38" t="s">
        <v>190</v>
      </c>
      <c r="N78" s="38" t="s">
        <v>191</v>
      </c>
      <c r="O78" s="38" t="s">
        <v>192</v>
      </c>
      <c r="P78" s="38" t="s">
        <v>193</v>
      </c>
      <c r="Q78" s="41" t="s">
        <v>194</v>
      </c>
      <c r="R78" s="41" t="s">
        <v>195</v>
      </c>
      <c r="S78" s="41" t="s">
        <v>196</v>
      </c>
      <c r="T78" s="68" t="s">
        <v>210</v>
      </c>
      <c r="U78" s="65"/>
    </row>
    <row r="79" spans="1:21" ht="17.25" customHeight="1" x14ac:dyDescent="0.2">
      <c r="A79" s="65"/>
      <c r="B79" s="67"/>
      <c r="C79" s="68"/>
      <c r="D79" s="69"/>
      <c r="E79" s="70"/>
      <c r="F79" s="71"/>
      <c r="G79" s="39" t="s">
        <v>198</v>
      </c>
      <c r="H79" s="40" t="s">
        <v>185</v>
      </c>
      <c r="I79" s="40" t="s">
        <v>186</v>
      </c>
      <c r="J79" s="40" t="s">
        <v>187</v>
      </c>
      <c r="K79" s="41" t="s">
        <v>188</v>
      </c>
      <c r="L79" s="41" t="s">
        <v>189</v>
      </c>
      <c r="M79" s="41" t="s">
        <v>190</v>
      </c>
      <c r="N79" s="41" t="s">
        <v>191</v>
      </c>
      <c r="O79" s="41" t="s">
        <v>192</v>
      </c>
      <c r="P79" s="41" t="s">
        <v>193</v>
      </c>
      <c r="Q79" s="41" t="s">
        <v>194</v>
      </c>
      <c r="R79" s="41" t="s">
        <v>195</v>
      </c>
      <c r="S79" s="40" t="s">
        <v>196</v>
      </c>
      <c r="T79" s="68"/>
      <c r="U79" s="65"/>
    </row>
    <row r="80" spans="1:21" ht="17.25" customHeight="1" x14ac:dyDescent="0.2">
      <c r="A80" s="64"/>
      <c r="B80" s="72" t="s">
        <v>382</v>
      </c>
      <c r="C80" s="63">
        <v>4800</v>
      </c>
      <c r="D80" s="74">
        <f>C80/0.8</f>
        <v>6000</v>
      </c>
      <c r="E80" s="75" t="s">
        <v>203</v>
      </c>
      <c r="F80" s="76" t="s">
        <v>206</v>
      </c>
      <c r="G80" s="32" t="s">
        <v>184</v>
      </c>
      <c r="H80" s="34" t="s">
        <v>185</v>
      </c>
      <c r="I80" s="34" t="s">
        <v>186</v>
      </c>
      <c r="J80" s="34" t="s">
        <v>187</v>
      </c>
      <c r="K80" s="34" t="s">
        <v>188</v>
      </c>
      <c r="L80" s="34" t="s">
        <v>189</v>
      </c>
      <c r="M80" s="33" t="s">
        <v>190</v>
      </c>
      <c r="N80" s="33" t="s">
        <v>191</v>
      </c>
      <c r="O80" s="33" t="s">
        <v>192</v>
      </c>
      <c r="P80" s="33" t="s">
        <v>193</v>
      </c>
      <c r="Q80" s="34" t="s">
        <v>194</v>
      </c>
      <c r="R80" s="34" t="s">
        <v>195</v>
      </c>
      <c r="S80" s="34" t="s">
        <v>196</v>
      </c>
      <c r="T80" s="63" t="s">
        <v>202</v>
      </c>
      <c r="U80" s="64"/>
    </row>
    <row r="81" spans="1:21" ht="17.25" customHeight="1" x14ac:dyDescent="0.2">
      <c r="A81" s="64"/>
      <c r="B81" s="73"/>
      <c r="C81" s="63"/>
      <c r="D81" s="74"/>
      <c r="E81" s="75"/>
      <c r="F81" s="76"/>
      <c r="G81" s="35" t="s">
        <v>198</v>
      </c>
      <c r="H81" s="36" t="s">
        <v>185</v>
      </c>
      <c r="I81" s="36" t="s">
        <v>186</v>
      </c>
      <c r="J81" s="36" t="s">
        <v>187</v>
      </c>
      <c r="K81" s="34" t="s">
        <v>188</v>
      </c>
      <c r="L81" s="34" t="s">
        <v>189</v>
      </c>
      <c r="M81" s="34" t="s">
        <v>190</v>
      </c>
      <c r="N81" s="34" t="s">
        <v>191</v>
      </c>
      <c r="O81" s="34" t="s">
        <v>192</v>
      </c>
      <c r="P81" s="34" t="s">
        <v>193</v>
      </c>
      <c r="Q81" s="34" t="s">
        <v>194</v>
      </c>
      <c r="R81" s="34" t="s">
        <v>195</v>
      </c>
      <c r="S81" s="36" t="s">
        <v>196</v>
      </c>
      <c r="T81" s="63"/>
      <c r="U81" s="64"/>
    </row>
    <row r="82" spans="1:21" ht="17.25" customHeight="1" x14ac:dyDescent="0.2">
      <c r="A82" s="65"/>
      <c r="B82" s="66" t="s">
        <v>383</v>
      </c>
      <c r="C82" s="68">
        <v>8000</v>
      </c>
      <c r="D82" s="69">
        <f>C82/0.8</f>
        <v>10000</v>
      </c>
      <c r="E82" s="70" t="s">
        <v>182</v>
      </c>
      <c r="F82" s="71" t="s">
        <v>211</v>
      </c>
      <c r="G82" s="37" t="s">
        <v>184</v>
      </c>
      <c r="H82" s="41" t="s">
        <v>185</v>
      </c>
      <c r="I82" s="41" t="s">
        <v>186</v>
      </c>
      <c r="J82" s="41" t="s">
        <v>187</v>
      </c>
      <c r="K82" s="41" t="s">
        <v>188</v>
      </c>
      <c r="L82" s="41" t="s">
        <v>189</v>
      </c>
      <c r="M82" s="38" t="s">
        <v>190</v>
      </c>
      <c r="N82" s="38" t="s">
        <v>191</v>
      </c>
      <c r="O82" s="38" t="s">
        <v>192</v>
      </c>
      <c r="P82" s="38" t="s">
        <v>193</v>
      </c>
      <c r="Q82" s="41" t="s">
        <v>194</v>
      </c>
      <c r="R82" s="41" t="s">
        <v>195</v>
      </c>
      <c r="S82" s="41" t="s">
        <v>196</v>
      </c>
      <c r="T82" s="68" t="s">
        <v>202</v>
      </c>
      <c r="U82" s="65"/>
    </row>
    <row r="83" spans="1:21" ht="17.25" customHeight="1" x14ac:dyDescent="0.2">
      <c r="A83" s="65"/>
      <c r="B83" s="67"/>
      <c r="C83" s="68"/>
      <c r="D83" s="69"/>
      <c r="E83" s="70"/>
      <c r="F83" s="71"/>
      <c r="G83" s="39" t="s">
        <v>198</v>
      </c>
      <c r="H83" s="40" t="s">
        <v>185</v>
      </c>
      <c r="I83" s="40" t="s">
        <v>186</v>
      </c>
      <c r="J83" s="40" t="s">
        <v>187</v>
      </c>
      <c r="K83" s="41" t="s">
        <v>188</v>
      </c>
      <c r="L83" s="41" t="s">
        <v>189</v>
      </c>
      <c r="M83" s="41" t="s">
        <v>190</v>
      </c>
      <c r="N83" s="41" t="s">
        <v>191</v>
      </c>
      <c r="O83" s="41" t="s">
        <v>192</v>
      </c>
      <c r="P83" s="41" t="s">
        <v>193</v>
      </c>
      <c r="Q83" s="41" t="s">
        <v>194</v>
      </c>
      <c r="R83" s="41" t="s">
        <v>195</v>
      </c>
      <c r="S83" s="40" t="s">
        <v>196</v>
      </c>
      <c r="T83" s="68"/>
      <c r="U83" s="65"/>
    </row>
    <row r="84" spans="1:21" ht="17.25" customHeight="1" x14ac:dyDescent="0.2">
      <c r="A84" s="64"/>
      <c r="B84" s="72" t="s">
        <v>384</v>
      </c>
      <c r="C84" s="63">
        <v>3200</v>
      </c>
      <c r="D84" s="74">
        <f>C84/0.8</f>
        <v>4000</v>
      </c>
      <c r="E84" s="75" t="s">
        <v>182</v>
      </c>
      <c r="F84" s="76" t="s">
        <v>204</v>
      </c>
      <c r="G84" s="32" t="s">
        <v>184</v>
      </c>
      <c r="H84" s="34" t="s">
        <v>185</v>
      </c>
      <c r="I84" s="34" t="s">
        <v>186</v>
      </c>
      <c r="J84" s="34" t="s">
        <v>187</v>
      </c>
      <c r="K84" s="34" t="s">
        <v>188</v>
      </c>
      <c r="L84" s="34" t="s">
        <v>189</v>
      </c>
      <c r="M84" s="33" t="s">
        <v>190</v>
      </c>
      <c r="N84" s="33" t="s">
        <v>191</v>
      </c>
      <c r="O84" s="33" t="s">
        <v>192</v>
      </c>
      <c r="P84" s="33" t="s">
        <v>193</v>
      </c>
      <c r="Q84" s="34" t="s">
        <v>194</v>
      </c>
      <c r="R84" s="34" t="s">
        <v>195</v>
      </c>
      <c r="S84" s="34" t="s">
        <v>196</v>
      </c>
      <c r="T84" s="63" t="s">
        <v>205</v>
      </c>
      <c r="U84" s="64"/>
    </row>
    <row r="85" spans="1:21" ht="17.25" customHeight="1" x14ac:dyDescent="0.2">
      <c r="A85" s="64"/>
      <c r="B85" s="73"/>
      <c r="C85" s="63"/>
      <c r="D85" s="74"/>
      <c r="E85" s="75"/>
      <c r="F85" s="76"/>
      <c r="G85" s="35" t="s">
        <v>198</v>
      </c>
      <c r="H85" s="36" t="s">
        <v>185</v>
      </c>
      <c r="I85" s="36" t="s">
        <v>186</v>
      </c>
      <c r="J85" s="36" t="s">
        <v>187</v>
      </c>
      <c r="K85" s="34" t="s">
        <v>188</v>
      </c>
      <c r="L85" s="34" t="s">
        <v>189</v>
      </c>
      <c r="M85" s="34" t="s">
        <v>190</v>
      </c>
      <c r="N85" s="34" t="s">
        <v>191</v>
      </c>
      <c r="O85" s="34" t="s">
        <v>192</v>
      </c>
      <c r="P85" s="34" t="s">
        <v>193</v>
      </c>
      <c r="Q85" s="34" t="s">
        <v>194</v>
      </c>
      <c r="R85" s="34" t="s">
        <v>195</v>
      </c>
      <c r="S85" s="36" t="s">
        <v>196</v>
      </c>
      <c r="T85" s="63"/>
      <c r="U85" s="64"/>
    </row>
    <row r="86" spans="1:21" ht="17.25" customHeight="1" x14ac:dyDescent="0.2">
      <c r="A86" s="65"/>
      <c r="B86" s="66" t="s">
        <v>385</v>
      </c>
      <c r="C86" s="68">
        <v>8000</v>
      </c>
      <c r="D86" s="69">
        <f>C86/0.8</f>
        <v>10000</v>
      </c>
      <c r="E86" s="70" t="s">
        <v>208</v>
      </c>
      <c r="F86" s="71" t="s">
        <v>211</v>
      </c>
      <c r="G86" s="37" t="s">
        <v>184</v>
      </c>
      <c r="H86" s="38" t="s">
        <v>185</v>
      </c>
      <c r="I86" s="38" t="s">
        <v>186</v>
      </c>
      <c r="J86" s="38" t="s">
        <v>187</v>
      </c>
      <c r="K86" s="41" t="s">
        <v>188</v>
      </c>
      <c r="L86" s="41" t="s">
        <v>189</v>
      </c>
      <c r="M86" s="41" t="s">
        <v>190</v>
      </c>
      <c r="N86" s="41" t="s">
        <v>191</v>
      </c>
      <c r="O86" s="41" t="s">
        <v>192</v>
      </c>
      <c r="P86" s="38" t="s">
        <v>193</v>
      </c>
      <c r="Q86" s="38" t="s">
        <v>194</v>
      </c>
      <c r="R86" s="38" t="s">
        <v>195</v>
      </c>
      <c r="S86" s="38" t="s">
        <v>196</v>
      </c>
      <c r="T86" s="68" t="s">
        <v>197</v>
      </c>
      <c r="U86" s="65"/>
    </row>
    <row r="87" spans="1:21" ht="17.25" customHeight="1" x14ac:dyDescent="0.2">
      <c r="A87" s="65"/>
      <c r="B87" s="67"/>
      <c r="C87" s="68"/>
      <c r="D87" s="69"/>
      <c r="E87" s="70"/>
      <c r="F87" s="71"/>
      <c r="G87" s="39" t="s">
        <v>198</v>
      </c>
      <c r="H87" s="41" t="s">
        <v>185</v>
      </c>
      <c r="I87" s="41" t="s">
        <v>186</v>
      </c>
      <c r="J87" s="40" t="s">
        <v>187</v>
      </c>
      <c r="K87" s="40" t="s">
        <v>188</v>
      </c>
      <c r="L87" s="40" t="s">
        <v>189</v>
      </c>
      <c r="M87" s="40" t="s">
        <v>190</v>
      </c>
      <c r="N87" s="40" t="s">
        <v>191</v>
      </c>
      <c r="O87" s="40" t="s">
        <v>192</v>
      </c>
      <c r="P87" s="40" t="s">
        <v>193</v>
      </c>
      <c r="Q87" s="41" t="s">
        <v>194</v>
      </c>
      <c r="R87" s="41" t="s">
        <v>195</v>
      </c>
      <c r="S87" s="41" t="s">
        <v>196</v>
      </c>
      <c r="T87" s="68"/>
      <c r="U87" s="65"/>
    </row>
    <row r="88" spans="1:21" ht="17.25" customHeight="1" x14ac:dyDescent="0.2">
      <c r="A88" s="64"/>
      <c r="B88" s="72" t="s">
        <v>386</v>
      </c>
      <c r="C88" s="63">
        <v>800</v>
      </c>
      <c r="D88" s="74">
        <f>C88/0.8</f>
        <v>1000</v>
      </c>
      <c r="E88" s="75" t="s">
        <v>212</v>
      </c>
      <c r="F88" s="76" t="s">
        <v>183</v>
      </c>
      <c r="G88" s="32" t="s">
        <v>184</v>
      </c>
      <c r="H88" s="33" t="s">
        <v>185</v>
      </c>
      <c r="I88" s="33" t="s">
        <v>186</v>
      </c>
      <c r="J88" s="33" t="s">
        <v>187</v>
      </c>
      <c r="K88" s="34" t="s">
        <v>188</v>
      </c>
      <c r="L88" s="34" t="s">
        <v>189</v>
      </c>
      <c r="M88" s="34" t="s">
        <v>190</v>
      </c>
      <c r="N88" s="34" t="s">
        <v>191</v>
      </c>
      <c r="O88" s="34" t="s">
        <v>192</v>
      </c>
      <c r="P88" s="34" t="s">
        <v>193</v>
      </c>
      <c r="Q88" s="34" t="s">
        <v>194</v>
      </c>
      <c r="R88" s="34" t="s">
        <v>195</v>
      </c>
      <c r="S88" s="33" t="s">
        <v>196</v>
      </c>
      <c r="T88" s="63" t="s">
        <v>197</v>
      </c>
      <c r="U88" s="64"/>
    </row>
    <row r="89" spans="1:21" ht="17.25" customHeight="1" x14ac:dyDescent="0.2">
      <c r="A89" s="64"/>
      <c r="B89" s="73"/>
      <c r="C89" s="63"/>
      <c r="D89" s="74"/>
      <c r="E89" s="75"/>
      <c r="F89" s="76"/>
      <c r="G89" s="35" t="s">
        <v>198</v>
      </c>
      <c r="H89" s="34" t="s">
        <v>185</v>
      </c>
      <c r="I89" s="34" t="s">
        <v>186</v>
      </c>
      <c r="J89" s="34" t="s">
        <v>187</v>
      </c>
      <c r="K89" s="34" t="s">
        <v>188</v>
      </c>
      <c r="L89" s="34" t="s">
        <v>189</v>
      </c>
      <c r="M89" s="36" t="s">
        <v>190</v>
      </c>
      <c r="N89" s="36" t="s">
        <v>191</v>
      </c>
      <c r="O89" s="36" t="s">
        <v>192</v>
      </c>
      <c r="P89" s="36" t="s">
        <v>193</v>
      </c>
      <c r="Q89" s="34" t="s">
        <v>194</v>
      </c>
      <c r="R89" s="34" t="s">
        <v>195</v>
      </c>
      <c r="S89" s="34" t="s">
        <v>196</v>
      </c>
      <c r="T89" s="63"/>
      <c r="U89" s="64"/>
    </row>
    <row r="90" spans="1:21" ht="17.25" customHeight="1" x14ac:dyDescent="0.2">
      <c r="A90" s="65"/>
      <c r="B90" s="66" t="s">
        <v>387</v>
      </c>
      <c r="C90" s="68">
        <v>880</v>
      </c>
      <c r="D90" s="69">
        <f>C90/0.8</f>
        <v>1100</v>
      </c>
      <c r="E90" s="70" t="s">
        <v>212</v>
      </c>
      <c r="F90" s="71" t="s">
        <v>183</v>
      </c>
      <c r="G90" s="37" t="s">
        <v>184</v>
      </c>
      <c r="H90" s="41" t="s">
        <v>185</v>
      </c>
      <c r="I90" s="41" t="s">
        <v>186</v>
      </c>
      <c r="J90" s="41" t="s">
        <v>187</v>
      </c>
      <c r="K90" s="38" t="s">
        <v>188</v>
      </c>
      <c r="L90" s="38" t="s">
        <v>189</v>
      </c>
      <c r="M90" s="38" t="s">
        <v>190</v>
      </c>
      <c r="N90" s="38" t="s">
        <v>191</v>
      </c>
      <c r="O90" s="38" t="s">
        <v>192</v>
      </c>
      <c r="P90" s="38" t="s">
        <v>193</v>
      </c>
      <c r="Q90" s="38" t="s">
        <v>194</v>
      </c>
      <c r="R90" s="38" t="s">
        <v>195</v>
      </c>
      <c r="S90" s="41" t="s">
        <v>196</v>
      </c>
      <c r="T90" s="68" t="s">
        <v>197</v>
      </c>
      <c r="U90" s="65"/>
    </row>
    <row r="91" spans="1:21" ht="17.25" customHeight="1" x14ac:dyDescent="0.2">
      <c r="A91" s="65"/>
      <c r="B91" s="67"/>
      <c r="C91" s="68"/>
      <c r="D91" s="69"/>
      <c r="E91" s="70"/>
      <c r="F91" s="71"/>
      <c r="G91" s="39" t="s">
        <v>198</v>
      </c>
      <c r="H91" s="40" t="s">
        <v>185</v>
      </c>
      <c r="I91" s="40" t="s">
        <v>186</v>
      </c>
      <c r="J91" s="40" t="s">
        <v>187</v>
      </c>
      <c r="K91" s="40" t="s">
        <v>188</v>
      </c>
      <c r="L91" s="40" t="s">
        <v>189</v>
      </c>
      <c r="M91" s="41" t="s">
        <v>190</v>
      </c>
      <c r="N91" s="41" t="s">
        <v>191</v>
      </c>
      <c r="O91" s="41" t="s">
        <v>192</v>
      </c>
      <c r="P91" s="41" t="s">
        <v>193</v>
      </c>
      <c r="Q91" s="40" t="s">
        <v>194</v>
      </c>
      <c r="R91" s="40" t="s">
        <v>195</v>
      </c>
      <c r="S91" s="40" t="s">
        <v>196</v>
      </c>
      <c r="T91" s="68"/>
      <c r="U91" s="65"/>
    </row>
    <row r="92" spans="1:21" ht="17.25" customHeight="1" x14ac:dyDescent="0.2">
      <c r="A92" s="64"/>
      <c r="B92" s="72" t="s">
        <v>388</v>
      </c>
      <c r="C92" s="63">
        <v>520</v>
      </c>
      <c r="D92" s="74">
        <f>C92/0.8</f>
        <v>650</v>
      </c>
      <c r="E92" s="75" t="s">
        <v>212</v>
      </c>
      <c r="F92" s="76" t="s">
        <v>183</v>
      </c>
      <c r="G92" s="32" t="s">
        <v>184</v>
      </c>
      <c r="H92" s="34" t="s">
        <v>185</v>
      </c>
      <c r="I92" s="34" t="s">
        <v>186</v>
      </c>
      <c r="J92" s="34" t="s">
        <v>187</v>
      </c>
      <c r="K92" s="33" t="s">
        <v>188</v>
      </c>
      <c r="L92" s="33" t="s">
        <v>189</v>
      </c>
      <c r="M92" s="33" t="s">
        <v>190</v>
      </c>
      <c r="N92" s="33" t="s">
        <v>191</v>
      </c>
      <c r="O92" s="33" t="s">
        <v>192</v>
      </c>
      <c r="P92" s="33" t="s">
        <v>193</v>
      </c>
      <c r="Q92" s="34" t="s">
        <v>194</v>
      </c>
      <c r="R92" s="34" t="s">
        <v>195</v>
      </c>
      <c r="S92" s="34" t="s">
        <v>196</v>
      </c>
      <c r="T92" s="63" t="s">
        <v>197</v>
      </c>
      <c r="U92" s="64"/>
    </row>
    <row r="93" spans="1:21" ht="17.25" customHeight="1" x14ac:dyDescent="0.2">
      <c r="A93" s="64"/>
      <c r="B93" s="73"/>
      <c r="C93" s="63"/>
      <c r="D93" s="74"/>
      <c r="E93" s="75"/>
      <c r="F93" s="76"/>
      <c r="G93" s="35" t="s">
        <v>198</v>
      </c>
      <c r="H93" s="36" t="s">
        <v>185</v>
      </c>
      <c r="I93" s="36" t="s">
        <v>186</v>
      </c>
      <c r="J93" s="36" t="s">
        <v>187</v>
      </c>
      <c r="K93" s="34" t="s">
        <v>188</v>
      </c>
      <c r="L93" s="34" t="s">
        <v>189</v>
      </c>
      <c r="M93" s="34" t="s">
        <v>190</v>
      </c>
      <c r="N93" s="34" t="s">
        <v>191</v>
      </c>
      <c r="O93" s="34" t="s">
        <v>192</v>
      </c>
      <c r="P93" s="34" t="s">
        <v>193</v>
      </c>
      <c r="Q93" s="36" t="s">
        <v>194</v>
      </c>
      <c r="R93" s="36" t="s">
        <v>195</v>
      </c>
      <c r="S93" s="36" t="s">
        <v>196</v>
      </c>
      <c r="T93" s="63"/>
      <c r="U93" s="64"/>
    </row>
    <row r="94" spans="1:21" ht="17.25" customHeight="1" x14ac:dyDescent="0.2">
      <c r="A94" s="65"/>
      <c r="B94" s="66" t="s">
        <v>389</v>
      </c>
      <c r="C94" s="68">
        <v>800</v>
      </c>
      <c r="D94" s="69">
        <f>C94/0.8</f>
        <v>1000</v>
      </c>
      <c r="E94" s="70" t="s">
        <v>212</v>
      </c>
      <c r="F94" s="71" t="s">
        <v>200</v>
      </c>
      <c r="G94" s="37" t="s">
        <v>184</v>
      </c>
      <c r="H94" s="41" t="s">
        <v>185</v>
      </c>
      <c r="I94" s="41" t="s">
        <v>186</v>
      </c>
      <c r="J94" s="41" t="s">
        <v>187</v>
      </c>
      <c r="K94" s="38" t="s">
        <v>188</v>
      </c>
      <c r="L94" s="38" t="s">
        <v>189</v>
      </c>
      <c r="M94" s="38" t="s">
        <v>190</v>
      </c>
      <c r="N94" s="38" t="s">
        <v>191</v>
      </c>
      <c r="O94" s="38" t="s">
        <v>192</v>
      </c>
      <c r="P94" s="38" t="s">
        <v>193</v>
      </c>
      <c r="Q94" s="41" t="s">
        <v>194</v>
      </c>
      <c r="R94" s="41" t="s">
        <v>195</v>
      </c>
      <c r="S94" s="41" t="s">
        <v>196</v>
      </c>
      <c r="T94" s="68" t="s">
        <v>197</v>
      </c>
      <c r="U94" s="65"/>
    </row>
    <row r="95" spans="1:21" ht="17.25" customHeight="1" x14ac:dyDescent="0.2">
      <c r="A95" s="65"/>
      <c r="B95" s="67"/>
      <c r="C95" s="68"/>
      <c r="D95" s="69"/>
      <c r="E95" s="70"/>
      <c r="F95" s="71"/>
      <c r="G95" s="39" t="s">
        <v>198</v>
      </c>
      <c r="H95" s="40" t="s">
        <v>185</v>
      </c>
      <c r="I95" s="40" t="s">
        <v>186</v>
      </c>
      <c r="J95" s="40" t="s">
        <v>187</v>
      </c>
      <c r="K95" s="41" t="s">
        <v>188</v>
      </c>
      <c r="L95" s="41" t="s">
        <v>189</v>
      </c>
      <c r="M95" s="41" t="s">
        <v>190</v>
      </c>
      <c r="N95" s="41" t="s">
        <v>191</v>
      </c>
      <c r="O95" s="41" t="s">
        <v>192</v>
      </c>
      <c r="P95" s="41" t="s">
        <v>193</v>
      </c>
      <c r="Q95" s="40" t="s">
        <v>194</v>
      </c>
      <c r="R95" s="40" t="s">
        <v>195</v>
      </c>
      <c r="S95" s="40" t="s">
        <v>196</v>
      </c>
      <c r="T95" s="68"/>
      <c r="U95" s="65"/>
    </row>
    <row r="96" spans="1:21" ht="17.25" customHeight="1" x14ac:dyDescent="0.2">
      <c r="A96" s="64"/>
      <c r="B96" s="72" t="s">
        <v>390</v>
      </c>
      <c r="C96" s="63">
        <v>800</v>
      </c>
      <c r="D96" s="74">
        <f>C96/0.8</f>
        <v>1000</v>
      </c>
      <c r="E96" s="75" t="s">
        <v>212</v>
      </c>
      <c r="F96" s="76" t="s">
        <v>200</v>
      </c>
      <c r="G96" s="32" t="s">
        <v>184</v>
      </c>
      <c r="H96" s="34" t="s">
        <v>185</v>
      </c>
      <c r="I96" s="34" t="s">
        <v>186</v>
      </c>
      <c r="J96" s="34" t="s">
        <v>187</v>
      </c>
      <c r="K96" s="33" t="s">
        <v>188</v>
      </c>
      <c r="L96" s="33" t="s">
        <v>189</v>
      </c>
      <c r="M96" s="33" t="s">
        <v>190</v>
      </c>
      <c r="N96" s="33" t="s">
        <v>191</v>
      </c>
      <c r="O96" s="33" t="s">
        <v>192</v>
      </c>
      <c r="P96" s="33" t="s">
        <v>193</v>
      </c>
      <c r="Q96" s="34" t="s">
        <v>194</v>
      </c>
      <c r="R96" s="34" t="s">
        <v>195</v>
      </c>
      <c r="S96" s="34" t="s">
        <v>196</v>
      </c>
      <c r="T96" s="63" t="s">
        <v>197</v>
      </c>
      <c r="U96" s="64"/>
    </row>
    <row r="97" spans="1:21" ht="17.25" customHeight="1" x14ac:dyDescent="0.2">
      <c r="A97" s="64"/>
      <c r="B97" s="73"/>
      <c r="C97" s="63"/>
      <c r="D97" s="74"/>
      <c r="E97" s="75"/>
      <c r="F97" s="76"/>
      <c r="G97" s="35" t="s">
        <v>198</v>
      </c>
      <c r="H97" s="36" t="s">
        <v>185</v>
      </c>
      <c r="I97" s="36" t="s">
        <v>186</v>
      </c>
      <c r="J97" s="36" t="s">
        <v>187</v>
      </c>
      <c r="K97" s="34" t="s">
        <v>188</v>
      </c>
      <c r="L97" s="34" t="s">
        <v>189</v>
      </c>
      <c r="M97" s="34" t="s">
        <v>190</v>
      </c>
      <c r="N97" s="34" t="s">
        <v>191</v>
      </c>
      <c r="O97" s="34" t="s">
        <v>192</v>
      </c>
      <c r="P97" s="34" t="s">
        <v>193</v>
      </c>
      <c r="Q97" s="36" t="s">
        <v>194</v>
      </c>
      <c r="R97" s="36" t="s">
        <v>195</v>
      </c>
      <c r="S97" s="36" t="s">
        <v>196</v>
      </c>
      <c r="T97" s="63"/>
      <c r="U97" s="64"/>
    </row>
    <row r="98" spans="1:21" ht="17.25" customHeight="1" x14ac:dyDescent="0.2">
      <c r="A98" s="65"/>
      <c r="B98" s="66" t="s">
        <v>391</v>
      </c>
      <c r="C98" s="68">
        <v>8000</v>
      </c>
      <c r="D98" s="69">
        <f>C98/0.8</f>
        <v>10000</v>
      </c>
      <c r="E98" s="70" t="s">
        <v>212</v>
      </c>
      <c r="F98" s="71" t="s">
        <v>211</v>
      </c>
      <c r="G98" s="37" t="s">
        <v>184</v>
      </c>
      <c r="H98" s="41" t="s">
        <v>185</v>
      </c>
      <c r="I98" s="41" t="s">
        <v>186</v>
      </c>
      <c r="J98" s="41" t="s">
        <v>187</v>
      </c>
      <c r="K98" s="41" t="s">
        <v>188</v>
      </c>
      <c r="L98" s="41" t="s">
        <v>189</v>
      </c>
      <c r="M98" s="41" t="s">
        <v>190</v>
      </c>
      <c r="N98" s="38" t="s">
        <v>191</v>
      </c>
      <c r="O98" s="38" t="s">
        <v>192</v>
      </c>
      <c r="P98" s="41" t="s">
        <v>193</v>
      </c>
      <c r="Q98" s="41" t="s">
        <v>194</v>
      </c>
      <c r="R98" s="41" t="s">
        <v>195</v>
      </c>
      <c r="S98" s="41" t="s">
        <v>196</v>
      </c>
      <c r="T98" s="68" t="s">
        <v>213</v>
      </c>
      <c r="U98" s="65"/>
    </row>
    <row r="99" spans="1:21" ht="17.25" customHeight="1" x14ac:dyDescent="0.2">
      <c r="A99" s="65"/>
      <c r="B99" s="67"/>
      <c r="C99" s="68"/>
      <c r="D99" s="69"/>
      <c r="E99" s="70"/>
      <c r="F99" s="71"/>
      <c r="G99" s="39" t="s">
        <v>198</v>
      </c>
      <c r="H99" s="40" t="s">
        <v>185</v>
      </c>
      <c r="I99" s="40" t="s">
        <v>186</v>
      </c>
      <c r="J99" s="41" t="s">
        <v>187</v>
      </c>
      <c r="K99" s="41" t="s">
        <v>188</v>
      </c>
      <c r="L99" s="41" t="s">
        <v>189</v>
      </c>
      <c r="M99" s="41" t="s">
        <v>190</v>
      </c>
      <c r="N99" s="41" t="s">
        <v>191</v>
      </c>
      <c r="O99" s="41" t="s">
        <v>192</v>
      </c>
      <c r="P99" s="41" t="s">
        <v>193</v>
      </c>
      <c r="Q99" s="41" t="s">
        <v>194</v>
      </c>
      <c r="R99" s="41" t="s">
        <v>195</v>
      </c>
      <c r="S99" s="41" t="s">
        <v>196</v>
      </c>
      <c r="T99" s="68"/>
      <c r="U99" s="65"/>
    </row>
    <row r="100" spans="1:21" ht="17.25" customHeight="1" x14ac:dyDescent="0.2">
      <c r="A100" s="64"/>
      <c r="B100" s="72" t="s">
        <v>392</v>
      </c>
      <c r="C100" s="63">
        <v>400</v>
      </c>
      <c r="D100" s="74">
        <f>C100/0.8</f>
        <v>500</v>
      </c>
      <c r="E100" s="75" t="s">
        <v>212</v>
      </c>
      <c r="F100" s="76" t="s">
        <v>201</v>
      </c>
      <c r="G100" s="32" t="s">
        <v>184</v>
      </c>
      <c r="H100" s="34" t="s">
        <v>185</v>
      </c>
      <c r="I100" s="34" t="s">
        <v>186</v>
      </c>
      <c r="J100" s="34" t="s">
        <v>187</v>
      </c>
      <c r="K100" s="33" t="s">
        <v>188</v>
      </c>
      <c r="L100" s="33" t="s">
        <v>189</v>
      </c>
      <c r="M100" s="33" t="s">
        <v>190</v>
      </c>
      <c r="N100" s="33" t="s">
        <v>191</v>
      </c>
      <c r="O100" s="33" t="s">
        <v>192</v>
      </c>
      <c r="P100" s="33" t="s">
        <v>193</v>
      </c>
      <c r="Q100" s="33" t="s">
        <v>194</v>
      </c>
      <c r="R100" s="33" t="s">
        <v>195</v>
      </c>
      <c r="S100" s="34" t="s">
        <v>196</v>
      </c>
      <c r="T100" s="63" t="s">
        <v>197</v>
      </c>
      <c r="U100" s="64"/>
    </row>
    <row r="101" spans="1:21" ht="17.25" customHeight="1" x14ac:dyDescent="0.2">
      <c r="A101" s="64"/>
      <c r="B101" s="73"/>
      <c r="C101" s="63"/>
      <c r="D101" s="74"/>
      <c r="E101" s="75"/>
      <c r="F101" s="76"/>
      <c r="G101" s="35" t="s">
        <v>198</v>
      </c>
      <c r="H101" s="36" t="s">
        <v>185</v>
      </c>
      <c r="I101" s="36" t="s">
        <v>186</v>
      </c>
      <c r="J101" s="36" t="s">
        <v>187</v>
      </c>
      <c r="K101" s="36" t="s">
        <v>188</v>
      </c>
      <c r="L101" s="36" t="s">
        <v>189</v>
      </c>
      <c r="M101" s="34" t="s">
        <v>190</v>
      </c>
      <c r="N101" s="34" t="s">
        <v>191</v>
      </c>
      <c r="O101" s="34" t="s">
        <v>192</v>
      </c>
      <c r="P101" s="34" t="s">
        <v>193</v>
      </c>
      <c r="Q101" s="36" t="s">
        <v>194</v>
      </c>
      <c r="R101" s="36" t="s">
        <v>195</v>
      </c>
      <c r="S101" s="36" t="s">
        <v>196</v>
      </c>
      <c r="T101" s="63"/>
      <c r="U101" s="64"/>
    </row>
    <row r="102" spans="1:21" ht="17.25" customHeight="1" x14ac:dyDescent="0.2">
      <c r="A102" s="65"/>
      <c r="B102" s="66" t="s">
        <v>393</v>
      </c>
      <c r="C102" s="68">
        <v>4000</v>
      </c>
      <c r="D102" s="69">
        <f>C102/0.8</f>
        <v>5000</v>
      </c>
      <c r="E102" s="70" t="s">
        <v>212</v>
      </c>
      <c r="F102" s="71" t="s">
        <v>214</v>
      </c>
      <c r="G102" s="37" t="s">
        <v>184</v>
      </c>
      <c r="H102" s="38" t="s">
        <v>185</v>
      </c>
      <c r="I102" s="38" t="s">
        <v>186</v>
      </c>
      <c r="J102" s="42" t="s">
        <v>187</v>
      </c>
      <c r="K102" s="42" t="s">
        <v>188</v>
      </c>
      <c r="L102" s="42" t="s">
        <v>189</v>
      </c>
      <c r="M102" s="42" t="s">
        <v>190</v>
      </c>
      <c r="N102" s="42" t="s">
        <v>191</v>
      </c>
      <c r="O102" s="42" t="s">
        <v>192</v>
      </c>
      <c r="P102" s="42" t="s">
        <v>193</v>
      </c>
      <c r="Q102" s="42" t="s">
        <v>194</v>
      </c>
      <c r="R102" s="38" t="s">
        <v>195</v>
      </c>
      <c r="S102" s="38" t="s">
        <v>196</v>
      </c>
      <c r="T102" s="68" t="s">
        <v>213</v>
      </c>
      <c r="U102" s="65"/>
    </row>
    <row r="103" spans="1:21" ht="17.25" customHeight="1" x14ac:dyDescent="0.2">
      <c r="A103" s="65"/>
      <c r="B103" s="67"/>
      <c r="C103" s="68"/>
      <c r="D103" s="69"/>
      <c r="E103" s="70"/>
      <c r="F103" s="71"/>
      <c r="G103" s="39" t="s">
        <v>198</v>
      </c>
      <c r="H103" s="42" t="s">
        <v>185</v>
      </c>
      <c r="I103" s="42" t="s">
        <v>186</v>
      </c>
      <c r="J103" s="42" t="s">
        <v>187</v>
      </c>
      <c r="K103" s="42" t="s">
        <v>188</v>
      </c>
      <c r="L103" s="40" t="s">
        <v>189</v>
      </c>
      <c r="M103" s="40" t="s">
        <v>190</v>
      </c>
      <c r="N103" s="40" t="s">
        <v>191</v>
      </c>
      <c r="O103" s="40" t="s">
        <v>192</v>
      </c>
      <c r="P103" s="42" t="s">
        <v>193</v>
      </c>
      <c r="Q103" s="42" t="s">
        <v>194</v>
      </c>
      <c r="R103" s="42" t="s">
        <v>195</v>
      </c>
      <c r="S103" s="42" t="s">
        <v>196</v>
      </c>
      <c r="T103" s="68"/>
      <c r="U103" s="65"/>
    </row>
    <row r="104" spans="1:21" ht="17.25" customHeight="1" x14ac:dyDescent="0.2">
      <c r="A104" s="64"/>
      <c r="B104" s="72" t="s">
        <v>394</v>
      </c>
      <c r="C104" s="63">
        <v>200</v>
      </c>
      <c r="D104" s="74">
        <f>C104/0.8</f>
        <v>250</v>
      </c>
      <c r="E104" s="75" t="s">
        <v>212</v>
      </c>
      <c r="F104" s="76" t="s">
        <v>201</v>
      </c>
      <c r="G104" s="32" t="s">
        <v>184</v>
      </c>
      <c r="H104" s="34" t="s">
        <v>185</v>
      </c>
      <c r="I104" s="34" t="s">
        <v>186</v>
      </c>
      <c r="J104" s="34" t="s">
        <v>187</v>
      </c>
      <c r="K104" s="34" t="s">
        <v>188</v>
      </c>
      <c r="L104" s="34" t="s">
        <v>189</v>
      </c>
      <c r="M104" s="34" t="s">
        <v>190</v>
      </c>
      <c r="N104" s="33" t="s">
        <v>191</v>
      </c>
      <c r="O104" s="33" t="s">
        <v>192</v>
      </c>
      <c r="P104" s="33" t="s">
        <v>193</v>
      </c>
      <c r="Q104" s="34" t="s">
        <v>194</v>
      </c>
      <c r="R104" s="34" t="s">
        <v>195</v>
      </c>
      <c r="S104" s="34" t="s">
        <v>196</v>
      </c>
      <c r="T104" s="63" t="s">
        <v>197</v>
      </c>
      <c r="U104" s="64"/>
    </row>
    <row r="105" spans="1:21" ht="17.25" customHeight="1" x14ac:dyDescent="0.2">
      <c r="A105" s="64"/>
      <c r="B105" s="73"/>
      <c r="C105" s="63"/>
      <c r="D105" s="74"/>
      <c r="E105" s="75"/>
      <c r="F105" s="76"/>
      <c r="G105" s="35" t="s">
        <v>198</v>
      </c>
      <c r="H105" s="36" t="s">
        <v>185</v>
      </c>
      <c r="I105" s="36" t="s">
        <v>186</v>
      </c>
      <c r="J105" s="36" t="s">
        <v>187</v>
      </c>
      <c r="K105" s="34" t="s">
        <v>188</v>
      </c>
      <c r="L105" s="34" t="s">
        <v>189</v>
      </c>
      <c r="M105" s="34" t="s">
        <v>190</v>
      </c>
      <c r="N105" s="34" t="s">
        <v>191</v>
      </c>
      <c r="O105" s="34" t="s">
        <v>192</v>
      </c>
      <c r="P105" s="34" t="s">
        <v>193</v>
      </c>
      <c r="Q105" s="34" t="s">
        <v>194</v>
      </c>
      <c r="R105" s="34" t="s">
        <v>195</v>
      </c>
      <c r="S105" s="34" t="s">
        <v>196</v>
      </c>
      <c r="T105" s="63"/>
      <c r="U105" s="64"/>
    </row>
    <row r="106" spans="1:21" ht="17.25" customHeight="1" x14ac:dyDescent="0.2">
      <c r="A106" s="65"/>
      <c r="B106" s="66" t="s">
        <v>395</v>
      </c>
      <c r="C106" s="68">
        <v>160</v>
      </c>
      <c r="D106" s="69">
        <f>C106/0.8</f>
        <v>200</v>
      </c>
      <c r="E106" s="70" t="s">
        <v>212</v>
      </c>
      <c r="F106" s="71" t="s">
        <v>200</v>
      </c>
      <c r="G106" s="37" t="s">
        <v>184</v>
      </c>
      <c r="H106" s="38" t="s">
        <v>185</v>
      </c>
      <c r="I106" s="38" t="s">
        <v>186</v>
      </c>
      <c r="J106" s="38" t="s">
        <v>187</v>
      </c>
      <c r="K106" s="38" t="s">
        <v>188</v>
      </c>
      <c r="L106" s="38" t="s">
        <v>189</v>
      </c>
      <c r="M106" s="38" t="s">
        <v>190</v>
      </c>
      <c r="N106" s="38" t="s">
        <v>191</v>
      </c>
      <c r="O106" s="38" t="s">
        <v>192</v>
      </c>
      <c r="P106" s="38" t="s">
        <v>193</v>
      </c>
      <c r="Q106" s="38" t="s">
        <v>194</v>
      </c>
      <c r="R106" s="38" t="s">
        <v>195</v>
      </c>
      <c r="S106" s="38" t="s">
        <v>196</v>
      </c>
      <c r="T106" s="68" t="s">
        <v>210</v>
      </c>
      <c r="U106" s="65"/>
    </row>
    <row r="107" spans="1:21" ht="17.25" customHeight="1" x14ac:dyDescent="0.2">
      <c r="A107" s="65"/>
      <c r="B107" s="67"/>
      <c r="C107" s="68"/>
      <c r="D107" s="69"/>
      <c r="E107" s="70"/>
      <c r="F107" s="71"/>
      <c r="G107" s="39" t="s">
        <v>198</v>
      </c>
      <c r="H107" s="40" t="s">
        <v>185</v>
      </c>
      <c r="I107" s="40" t="s">
        <v>186</v>
      </c>
      <c r="J107" s="40" t="s">
        <v>187</v>
      </c>
      <c r="K107" s="40" t="s">
        <v>188</v>
      </c>
      <c r="L107" s="40" t="s">
        <v>189</v>
      </c>
      <c r="M107" s="40" t="s">
        <v>190</v>
      </c>
      <c r="N107" s="40" t="s">
        <v>191</v>
      </c>
      <c r="O107" s="40" t="s">
        <v>192</v>
      </c>
      <c r="P107" s="40" t="s">
        <v>193</v>
      </c>
      <c r="Q107" s="40" t="s">
        <v>194</v>
      </c>
      <c r="R107" s="40" t="s">
        <v>195</v>
      </c>
      <c r="S107" s="40" t="s">
        <v>196</v>
      </c>
      <c r="T107" s="68"/>
      <c r="U107" s="65"/>
    </row>
    <row r="108" spans="1:21" ht="17.25" customHeight="1" x14ac:dyDescent="0.2">
      <c r="A108" s="64"/>
      <c r="B108" s="72" t="s">
        <v>396</v>
      </c>
      <c r="C108" s="63">
        <v>120</v>
      </c>
      <c r="D108" s="74">
        <f>C108/0.8</f>
        <v>150</v>
      </c>
      <c r="E108" s="75" t="s">
        <v>212</v>
      </c>
      <c r="F108" s="76" t="s">
        <v>200</v>
      </c>
      <c r="G108" s="32" t="s">
        <v>184</v>
      </c>
      <c r="H108" s="33" t="s">
        <v>185</v>
      </c>
      <c r="I108" s="33" t="s">
        <v>186</v>
      </c>
      <c r="J108" s="33" t="s">
        <v>187</v>
      </c>
      <c r="K108" s="33" t="s">
        <v>188</v>
      </c>
      <c r="L108" s="33" t="s">
        <v>189</v>
      </c>
      <c r="M108" s="33" t="s">
        <v>190</v>
      </c>
      <c r="N108" s="33" t="s">
        <v>191</v>
      </c>
      <c r="O108" s="33" t="s">
        <v>192</v>
      </c>
      <c r="P108" s="33" t="s">
        <v>193</v>
      </c>
      <c r="Q108" s="33" t="s">
        <v>194</v>
      </c>
      <c r="R108" s="33" t="s">
        <v>195</v>
      </c>
      <c r="S108" s="33" t="s">
        <v>196</v>
      </c>
      <c r="T108" s="63" t="s">
        <v>197</v>
      </c>
      <c r="U108" s="64"/>
    </row>
    <row r="109" spans="1:21" ht="17.25" customHeight="1" x14ac:dyDescent="0.2">
      <c r="A109" s="64"/>
      <c r="B109" s="73"/>
      <c r="C109" s="63"/>
      <c r="D109" s="74"/>
      <c r="E109" s="75"/>
      <c r="F109" s="76"/>
      <c r="G109" s="35" t="s">
        <v>198</v>
      </c>
      <c r="H109" s="36" t="s">
        <v>185</v>
      </c>
      <c r="I109" s="36" t="s">
        <v>186</v>
      </c>
      <c r="J109" s="36" t="s">
        <v>187</v>
      </c>
      <c r="K109" s="36" t="s">
        <v>188</v>
      </c>
      <c r="L109" s="36" t="s">
        <v>189</v>
      </c>
      <c r="M109" s="36" t="s">
        <v>190</v>
      </c>
      <c r="N109" s="36" t="s">
        <v>191</v>
      </c>
      <c r="O109" s="36" t="s">
        <v>192</v>
      </c>
      <c r="P109" s="36" t="s">
        <v>193</v>
      </c>
      <c r="Q109" s="36" t="s">
        <v>194</v>
      </c>
      <c r="R109" s="36" t="s">
        <v>195</v>
      </c>
      <c r="S109" s="36" t="s">
        <v>196</v>
      </c>
      <c r="T109" s="63"/>
      <c r="U109" s="64"/>
    </row>
    <row r="110" spans="1:21" ht="17.25" customHeight="1" x14ac:dyDescent="0.2">
      <c r="A110" s="65"/>
      <c r="B110" s="66" t="s">
        <v>397</v>
      </c>
      <c r="C110" s="68">
        <v>4000</v>
      </c>
      <c r="D110" s="69">
        <f>C110/0.8</f>
        <v>5000</v>
      </c>
      <c r="E110" s="70" t="s">
        <v>212</v>
      </c>
      <c r="F110" s="71" t="s">
        <v>201</v>
      </c>
      <c r="G110" s="37" t="s">
        <v>184</v>
      </c>
      <c r="H110" s="41" t="s">
        <v>185</v>
      </c>
      <c r="I110" s="41" t="s">
        <v>186</v>
      </c>
      <c r="J110" s="38" t="s">
        <v>187</v>
      </c>
      <c r="K110" s="38" t="s">
        <v>188</v>
      </c>
      <c r="L110" s="38" t="s">
        <v>189</v>
      </c>
      <c r="M110" s="38" t="s">
        <v>190</v>
      </c>
      <c r="N110" s="38" t="s">
        <v>191</v>
      </c>
      <c r="O110" s="38" t="s">
        <v>192</v>
      </c>
      <c r="P110" s="38" t="s">
        <v>193</v>
      </c>
      <c r="Q110" s="38" t="s">
        <v>194</v>
      </c>
      <c r="R110" s="38" t="s">
        <v>195</v>
      </c>
      <c r="S110" s="41" t="s">
        <v>196</v>
      </c>
      <c r="T110" s="68" t="s">
        <v>197</v>
      </c>
      <c r="U110" s="65"/>
    </row>
    <row r="111" spans="1:21" ht="17.25" customHeight="1" x14ac:dyDescent="0.2">
      <c r="A111" s="65"/>
      <c r="B111" s="67"/>
      <c r="C111" s="68"/>
      <c r="D111" s="69"/>
      <c r="E111" s="70"/>
      <c r="F111" s="71"/>
      <c r="G111" s="39" t="s">
        <v>198</v>
      </c>
      <c r="H111" s="40" t="s">
        <v>185</v>
      </c>
      <c r="I111" s="40" t="s">
        <v>186</v>
      </c>
      <c r="J111" s="40" t="s">
        <v>187</v>
      </c>
      <c r="K111" s="40" t="s">
        <v>188</v>
      </c>
      <c r="L111" s="40" t="s">
        <v>189</v>
      </c>
      <c r="M111" s="41" t="s">
        <v>190</v>
      </c>
      <c r="N111" s="41" t="s">
        <v>191</v>
      </c>
      <c r="O111" s="41" t="s">
        <v>192</v>
      </c>
      <c r="P111" s="40" t="s">
        <v>193</v>
      </c>
      <c r="Q111" s="40" t="s">
        <v>194</v>
      </c>
      <c r="R111" s="40" t="s">
        <v>195</v>
      </c>
      <c r="S111" s="40" t="s">
        <v>196</v>
      </c>
      <c r="T111" s="68"/>
      <c r="U111" s="65"/>
    </row>
    <row r="112" spans="1:21" ht="17.25" customHeight="1" x14ac:dyDescent="0.2">
      <c r="A112" s="64"/>
      <c r="B112" s="72" t="s">
        <v>398</v>
      </c>
      <c r="C112" s="63">
        <v>320</v>
      </c>
      <c r="D112" s="74">
        <f>C112/0.8</f>
        <v>400</v>
      </c>
      <c r="E112" s="75" t="s">
        <v>212</v>
      </c>
      <c r="F112" s="76" t="s">
        <v>206</v>
      </c>
      <c r="G112" s="32" t="s">
        <v>184</v>
      </c>
      <c r="H112" s="33" t="s">
        <v>185</v>
      </c>
      <c r="I112" s="33" t="s">
        <v>186</v>
      </c>
      <c r="J112" s="33" t="s">
        <v>187</v>
      </c>
      <c r="K112" s="33" t="s">
        <v>188</v>
      </c>
      <c r="L112" s="33" t="s">
        <v>189</v>
      </c>
      <c r="M112" s="33" t="s">
        <v>190</v>
      </c>
      <c r="N112" s="33" t="s">
        <v>191</v>
      </c>
      <c r="O112" s="33" t="s">
        <v>192</v>
      </c>
      <c r="P112" s="33" t="s">
        <v>193</v>
      </c>
      <c r="Q112" s="33" t="s">
        <v>194</v>
      </c>
      <c r="R112" s="33" t="s">
        <v>195</v>
      </c>
      <c r="S112" s="33" t="s">
        <v>196</v>
      </c>
      <c r="T112" s="63" t="s">
        <v>197</v>
      </c>
      <c r="U112" s="64"/>
    </row>
    <row r="113" spans="1:21" ht="17.25" customHeight="1" x14ac:dyDescent="0.2">
      <c r="A113" s="64"/>
      <c r="B113" s="73"/>
      <c r="C113" s="63"/>
      <c r="D113" s="74"/>
      <c r="E113" s="75"/>
      <c r="F113" s="76"/>
      <c r="G113" s="35" t="s">
        <v>198</v>
      </c>
      <c r="H113" s="36" t="s">
        <v>185</v>
      </c>
      <c r="I113" s="36" t="s">
        <v>186</v>
      </c>
      <c r="J113" s="36" t="s">
        <v>187</v>
      </c>
      <c r="K113" s="36" t="s">
        <v>188</v>
      </c>
      <c r="L113" s="36" t="s">
        <v>189</v>
      </c>
      <c r="M113" s="36" t="s">
        <v>190</v>
      </c>
      <c r="N113" s="36" t="s">
        <v>191</v>
      </c>
      <c r="O113" s="36" t="s">
        <v>192</v>
      </c>
      <c r="P113" s="36" t="s">
        <v>193</v>
      </c>
      <c r="Q113" s="36" t="s">
        <v>194</v>
      </c>
      <c r="R113" s="36" t="s">
        <v>195</v>
      </c>
      <c r="S113" s="36" t="s">
        <v>196</v>
      </c>
      <c r="T113" s="63"/>
      <c r="U113" s="64"/>
    </row>
    <row r="114" spans="1:21" ht="17.25" customHeight="1" x14ac:dyDescent="0.2">
      <c r="A114" s="65"/>
      <c r="B114" s="66" t="s">
        <v>399</v>
      </c>
      <c r="C114" s="68">
        <v>2400</v>
      </c>
      <c r="D114" s="69">
        <f>C114/0.8</f>
        <v>3000</v>
      </c>
      <c r="E114" s="70" t="s">
        <v>212</v>
      </c>
      <c r="F114" s="71" t="s">
        <v>204</v>
      </c>
      <c r="G114" s="37" t="s">
        <v>184</v>
      </c>
      <c r="H114" s="38" t="s">
        <v>185</v>
      </c>
      <c r="I114" s="38" t="s">
        <v>186</v>
      </c>
      <c r="J114" s="38" t="s">
        <v>187</v>
      </c>
      <c r="K114" s="38" t="s">
        <v>188</v>
      </c>
      <c r="L114" s="38" t="s">
        <v>189</v>
      </c>
      <c r="M114" s="38" t="s">
        <v>190</v>
      </c>
      <c r="N114" s="38" t="s">
        <v>191</v>
      </c>
      <c r="O114" s="38" t="s">
        <v>192</v>
      </c>
      <c r="P114" s="38" t="s">
        <v>193</v>
      </c>
      <c r="Q114" s="38" t="s">
        <v>194</v>
      </c>
      <c r="R114" s="38" t="s">
        <v>195</v>
      </c>
      <c r="S114" s="38" t="s">
        <v>196</v>
      </c>
      <c r="T114" s="68" t="s">
        <v>197</v>
      </c>
      <c r="U114" s="65"/>
    </row>
    <row r="115" spans="1:21" ht="17.25" customHeight="1" x14ac:dyDescent="0.2">
      <c r="A115" s="65"/>
      <c r="B115" s="67"/>
      <c r="C115" s="68"/>
      <c r="D115" s="69"/>
      <c r="E115" s="70"/>
      <c r="F115" s="71"/>
      <c r="G115" s="39" t="s">
        <v>198</v>
      </c>
      <c r="H115" s="40" t="s">
        <v>185</v>
      </c>
      <c r="I115" s="40" t="s">
        <v>186</v>
      </c>
      <c r="J115" s="40" t="s">
        <v>187</v>
      </c>
      <c r="K115" s="40" t="s">
        <v>188</v>
      </c>
      <c r="L115" s="40" t="s">
        <v>189</v>
      </c>
      <c r="M115" s="40" t="s">
        <v>190</v>
      </c>
      <c r="N115" s="40" t="s">
        <v>191</v>
      </c>
      <c r="O115" s="40" t="s">
        <v>192</v>
      </c>
      <c r="P115" s="40" t="s">
        <v>193</v>
      </c>
      <c r="Q115" s="40" t="s">
        <v>194</v>
      </c>
      <c r="R115" s="40" t="s">
        <v>195</v>
      </c>
      <c r="S115" s="40" t="s">
        <v>196</v>
      </c>
      <c r="T115" s="68"/>
      <c r="U115" s="65"/>
    </row>
    <row r="116" spans="1:21" ht="17.25" customHeight="1" x14ac:dyDescent="0.2">
      <c r="A116" s="64"/>
      <c r="B116" s="72" t="s">
        <v>400</v>
      </c>
      <c r="C116" s="63">
        <v>240</v>
      </c>
      <c r="D116" s="74">
        <f>C116/0.8</f>
        <v>300</v>
      </c>
      <c r="E116" s="75" t="s">
        <v>212</v>
      </c>
      <c r="F116" s="76" t="s">
        <v>201</v>
      </c>
      <c r="G116" s="32" t="s">
        <v>184</v>
      </c>
      <c r="H116" s="33" t="s">
        <v>185</v>
      </c>
      <c r="I116" s="33" t="s">
        <v>186</v>
      </c>
      <c r="J116" s="33" t="s">
        <v>187</v>
      </c>
      <c r="K116" s="33" t="s">
        <v>188</v>
      </c>
      <c r="L116" s="34" t="s">
        <v>189</v>
      </c>
      <c r="M116" s="34" t="s">
        <v>190</v>
      </c>
      <c r="N116" s="34" t="s">
        <v>191</v>
      </c>
      <c r="O116" s="34" t="s">
        <v>192</v>
      </c>
      <c r="P116" s="34" t="s">
        <v>193</v>
      </c>
      <c r="Q116" s="33" t="s">
        <v>194</v>
      </c>
      <c r="R116" s="33" t="s">
        <v>195</v>
      </c>
      <c r="S116" s="33" t="s">
        <v>196</v>
      </c>
      <c r="T116" s="63" t="s">
        <v>197</v>
      </c>
      <c r="U116" s="64"/>
    </row>
    <row r="117" spans="1:21" ht="17.25" customHeight="1" x14ac:dyDescent="0.2">
      <c r="A117" s="64"/>
      <c r="B117" s="73"/>
      <c r="C117" s="63"/>
      <c r="D117" s="74"/>
      <c r="E117" s="75"/>
      <c r="F117" s="76"/>
      <c r="G117" s="35" t="s">
        <v>198</v>
      </c>
      <c r="H117" s="34" t="s">
        <v>185</v>
      </c>
      <c r="I117" s="34" t="s">
        <v>186</v>
      </c>
      <c r="J117" s="34" t="s">
        <v>187</v>
      </c>
      <c r="K117" s="36" t="s">
        <v>188</v>
      </c>
      <c r="L117" s="36" t="s">
        <v>189</v>
      </c>
      <c r="M117" s="36" t="s">
        <v>190</v>
      </c>
      <c r="N117" s="36" t="s">
        <v>191</v>
      </c>
      <c r="O117" s="36" t="s">
        <v>192</v>
      </c>
      <c r="P117" s="36" t="s">
        <v>193</v>
      </c>
      <c r="Q117" s="36" t="s">
        <v>194</v>
      </c>
      <c r="R117" s="34" t="s">
        <v>195</v>
      </c>
      <c r="S117" s="34" t="s">
        <v>196</v>
      </c>
      <c r="T117" s="63"/>
      <c r="U117" s="64"/>
    </row>
    <row r="118" spans="1:21" ht="17.25" customHeight="1" x14ac:dyDescent="0.2">
      <c r="A118" s="65"/>
      <c r="B118" s="66" t="s">
        <v>401</v>
      </c>
      <c r="C118" s="68">
        <v>640</v>
      </c>
      <c r="D118" s="69">
        <f>C118/0.8</f>
        <v>800</v>
      </c>
      <c r="E118" s="70" t="s">
        <v>212</v>
      </c>
      <c r="F118" s="71" t="s">
        <v>206</v>
      </c>
      <c r="G118" s="37" t="s">
        <v>184</v>
      </c>
      <c r="H118" s="38" t="s">
        <v>185</v>
      </c>
      <c r="I118" s="38" t="s">
        <v>186</v>
      </c>
      <c r="J118" s="38" t="s">
        <v>187</v>
      </c>
      <c r="K118" s="38" t="s">
        <v>188</v>
      </c>
      <c r="L118" s="38" t="s">
        <v>189</v>
      </c>
      <c r="M118" s="38" t="s">
        <v>190</v>
      </c>
      <c r="N118" s="38" t="s">
        <v>191</v>
      </c>
      <c r="O118" s="38" t="s">
        <v>192</v>
      </c>
      <c r="P118" s="38" t="s">
        <v>193</v>
      </c>
      <c r="Q118" s="38" t="s">
        <v>194</v>
      </c>
      <c r="R118" s="38" t="s">
        <v>195</v>
      </c>
      <c r="S118" s="38" t="s">
        <v>196</v>
      </c>
      <c r="T118" s="68" t="s">
        <v>197</v>
      </c>
      <c r="U118" s="65"/>
    </row>
    <row r="119" spans="1:21" ht="17.25" customHeight="1" x14ac:dyDescent="0.2">
      <c r="A119" s="65"/>
      <c r="B119" s="67"/>
      <c r="C119" s="68"/>
      <c r="D119" s="69"/>
      <c r="E119" s="70"/>
      <c r="F119" s="71"/>
      <c r="G119" s="39" t="s">
        <v>198</v>
      </c>
      <c r="H119" s="40" t="s">
        <v>185</v>
      </c>
      <c r="I119" s="40" t="s">
        <v>186</v>
      </c>
      <c r="J119" s="40" t="s">
        <v>187</v>
      </c>
      <c r="K119" s="40" t="s">
        <v>188</v>
      </c>
      <c r="L119" s="40" t="s">
        <v>189</v>
      </c>
      <c r="M119" s="40" t="s">
        <v>190</v>
      </c>
      <c r="N119" s="40" t="s">
        <v>191</v>
      </c>
      <c r="O119" s="40" t="s">
        <v>192</v>
      </c>
      <c r="P119" s="40" t="s">
        <v>193</v>
      </c>
      <c r="Q119" s="40" t="s">
        <v>194</v>
      </c>
      <c r="R119" s="40" t="s">
        <v>195</v>
      </c>
      <c r="S119" s="40" t="s">
        <v>196</v>
      </c>
      <c r="T119" s="68"/>
      <c r="U119" s="65"/>
    </row>
    <row r="120" spans="1:21" ht="17.25" customHeight="1" x14ac:dyDescent="0.2">
      <c r="A120" s="64"/>
      <c r="B120" s="72" t="s">
        <v>402</v>
      </c>
      <c r="C120" s="63">
        <v>400</v>
      </c>
      <c r="D120" s="74">
        <f>C120/0.8</f>
        <v>500</v>
      </c>
      <c r="E120" s="75" t="s">
        <v>212</v>
      </c>
      <c r="F120" s="76" t="s">
        <v>201</v>
      </c>
      <c r="G120" s="32" t="s">
        <v>184</v>
      </c>
      <c r="H120" s="33" t="s">
        <v>185</v>
      </c>
      <c r="I120" s="33" t="s">
        <v>186</v>
      </c>
      <c r="J120" s="33" t="s">
        <v>187</v>
      </c>
      <c r="K120" s="33" t="s">
        <v>188</v>
      </c>
      <c r="L120" s="33" t="s">
        <v>189</v>
      </c>
      <c r="M120" s="33" t="s">
        <v>190</v>
      </c>
      <c r="N120" s="33" t="s">
        <v>191</v>
      </c>
      <c r="O120" s="33" t="s">
        <v>192</v>
      </c>
      <c r="P120" s="34" t="s">
        <v>193</v>
      </c>
      <c r="Q120" s="34" t="s">
        <v>194</v>
      </c>
      <c r="R120" s="34" t="s">
        <v>195</v>
      </c>
      <c r="S120" s="33" t="s">
        <v>196</v>
      </c>
      <c r="T120" s="63" t="s">
        <v>197</v>
      </c>
      <c r="U120" s="64"/>
    </row>
    <row r="121" spans="1:21" ht="17.25" customHeight="1" x14ac:dyDescent="0.2">
      <c r="A121" s="64"/>
      <c r="B121" s="73"/>
      <c r="C121" s="63"/>
      <c r="D121" s="74"/>
      <c r="E121" s="75"/>
      <c r="F121" s="76"/>
      <c r="G121" s="35" t="s">
        <v>198</v>
      </c>
      <c r="H121" s="36" t="s">
        <v>185</v>
      </c>
      <c r="I121" s="36" t="s">
        <v>186</v>
      </c>
      <c r="J121" s="34" t="s">
        <v>187</v>
      </c>
      <c r="K121" s="34" t="s">
        <v>188</v>
      </c>
      <c r="L121" s="34" t="s">
        <v>189</v>
      </c>
      <c r="M121" s="36" t="s">
        <v>190</v>
      </c>
      <c r="N121" s="36" t="s">
        <v>191</v>
      </c>
      <c r="O121" s="36" t="s">
        <v>192</v>
      </c>
      <c r="P121" s="36" t="s">
        <v>193</v>
      </c>
      <c r="Q121" s="36" t="s">
        <v>194</v>
      </c>
      <c r="R121" s="36" t="s">
        <v>195</v>
      </c>
      <c r="S121" s="36" t="s">
        <v>196</v>
      </c>
      <c r="T121" s="63"/>
      <c r="U121" s="64"/>
    </row>
    <row r="122" spans="1:21" ht="17.25" customHeight="1" x14ac:dyDescent="0.2">
      <c r="A122" s="65"/>
      <c r="B122" s="66" t="s">
        <v>403</v>
      </c>
      <c r="C122" s="68">
        <v>1600</v>
      </c>
      <c r="D122" s="69">
        <f>C122/0.8</f>
        <v>2000</v>
      </c>
      <c r="E122" s="70" t="s">
        <v>212</v>
      </c>
      <c r="F122" s="71" t="s">
        <v>215</v>
      </c>
      <c r="G122" s="37" t="s">
        <v>184</v>
      </c>
      <c r="H122" s="41" t="s">
        <v>185</v>
      </c>
      <c r="I122" s="41" t="s">
        <v>186</v>
      </c>
      <c r="J122" s="41" t="s">
        <v>187</v>
      </c>
      <c r="K122" s="41" t="s">
        <v>188</v>
      </c>
      <c r="L122" s="41" t="s">
        <v>189</v>
      </c>
      <c r="M122" s="41" t="s">
        <v>190</v>
      </c>
      <c r="N122" s="41" t="s">
        <v>191</v>
      </c>
      <c r="O122" s="38" t="s">
        <v>192</v>
      </c>
      <c r="P122" s="38" t="s">
        <v>193</v>
      </c>
      <c r="Q122" s="38" t="s">
        <v>194</v>
      </c>
      <c r="R122" s="41" t="s">
        <v>195</v>
      </c>
      <c r="S122" s="41" t="s">
        <v>196</v>
      </c>
      <c r="T122" s="68" t="s">
        <v>197</v>
      </c>
      <c r="U122" s="65"/>
    </row>
    <row r="123" spans="1:21" ht="17.25" customHeight="1" x14ac:dyDescent="0.2">
      <c r="A123" s="65"/>
      <c r="B123" s="67"/>
      <c r="C123" s="68"/>
      <c r="D123" s="69"/>
      <c r="E123" s="70"/>
      <c r="F123" s="71"/>
      <c r="G123" s="39" t="s">
        <v>198</v>
      </c>
      <c r="H123" s="41" t="s">
        <v>185</v>
      </c>
      <c r="I123" s="40" t="s">
        <v>186</v>
      </c>
      <c r="J123" s="40" t="s">
        <v>187</v>
      </c>
      <c r="K123" s="40" t="s">
        <v>188</v>
      </c>
      <c r="L123" s="41" t="s">
        <v>189</v>
      </c>
      <c r="M123" s="41" t="s">
        <v>190</v>
      </c>
      <c r="N123" s="41" t="s">
        <v>191</v>
      </c>
      <c r="O123" s="41" t="s">
        <v>192</v>
      </c>
      <c r="P123" s="41" t="s">
        <v>193</v>
      </c>
      <c r="Q123" s="41" t="s">
        <v>194</v>
      </c>
      <c r="R123" s="41" t="s">
        <v>195</v>
      </c>
      <c r="S123" s="41" t="s">
        <v>196</v>
      </c>
      <c r="T123" s="68"/>
      <c r="U123" s="65"/>
    </row>
    <row r="124" spans="1:21" ht="17.25" customHeight="1" x14ac:dyDescent="0.2">
      <c r="A124" s="64"/>
      <c r="B124" s="72" t="s">
        <v>404</v>
      </c>
      <c r="C124" s="63">
        <v>480</v>
      </c>
      <c r="D124" s="74">
        <f>C124/0.8</f>
        <v>600</v>
      </c>
      <c r="E124" s="75" t="s">
        <v>212</v>
      </c>
      <c r="F124" s="76" t="s">
        <v>215</v>
      </c>
      <c r="G124" s="32" t="s">
        <v>184</v>
      </c>
      <c r="H124" s="34" t="s">
        <v>185</v>
      </c>
      <c r="I124" s="34" t="s">
        <v>186</v>
      </c>
      <c r="J124" s="34" t="s">
        <v>187</v>
      </c>
      <c r="K124" s="34" t="s">
        <v>188</v>
      </c>
      <c r="L124" s="34" t="s">
        <v>189</v>
      </c>
      <c r="M124" s="33" t="s">
        <v>190</v>
      </c>
      <c r="N124" s="33" t="s">
        <v>191</v>
      </c>
      <c r="O124" s="33" t="s">
        <v>192</v>
      </c>
      <c r="P124" s="33" t="s">
        <v>193</v>
      </c>
      <c r="Q124" s="33" t="s">
        <v>194</v>
      </c>
      <c r="R124" s="34" t="s">
        <v>195</v>
      </c>
      <c r="S124" s="34" t="s">
        <v>196</v>
      </c>
      <c r="T124" s="63" t="s">
        <v>197</v>
      </c>
      <c r="U124" s="64"/>
    </row>
    <row r="125" spans="1:21" ht="17.25" customHeight="1" x14ac:dyDescent="0.2">
      <c r="A125" s="64"/>
      <c r="B125" s="73"/>
      <c r="C125" s="63"/>
      <c r="D125" s="74"/>
      <c r="E125" s="75"/>
      <c r="F125" s="76"/>
      <c r="G125" s="35" t="s">
        <v>198</v>
      </c>
      <c r="H125" s="36" t="s">
        <v>185</v>
      </c>
      <c r="I125" s="36" t="s">
        <v>186</v>
      </c>
      <c r="J125" s="36" t="s">
        <v>187</v>
      </c>
      <c r="K125" s="36" t="s">
        <v>188</v>
      </c>
      <c r="L125" s="34" t="s">
        <v>189</v>
      </c>
      <c r="M125" s="34" t="s">
        <v>190</v>
      </c>
      <c r="N125" s="34" t="s">
        <v>191</v>
      </c>
      <c r="O125" s="34" t="s">
        <v>192</v>
      </c>
      <c r="P125" s="34" t="s">
        <v>193</v>
      </c>
      <c r="Q125" s="34" t="s">
        <v>194</v>
      </c>
      <c r="R125" s="34" t="s">
        <v>195</v>
      </c>
      <c r="S125" s="36" t="s">
        <v>196</v>
      </c>
      <c r="T125" s="63"/>
      <c r="U125" s="64"/>
    </row>
    <row r="126" spans="1:21" ht="17.25" customHeight="1" x14ac:dyDescent="0.2">
      <c r="A126" s="65"/>
      <c r="B126" s="66" t="s">
        <v>405</v>
      </c>
      <c r="C126" s="68">
        <v>5600</v>
      </c>
      <c r="D126" s="69">
        <f>C126/0.8</f>
        <v>7000</v>
      </c>
      <c r="E126" s="70" t="s">
        <v>216</v>
      </c>
      <c r="F126" s="71" t="s">
        <v>211</v>
      </c>
      <c r="G126" s="37" t="s">
        <v>184</v>
      </c>
      <c r="H126" s="38" t="s">
        <v>185</v>
      </c>
      <c r="I126" s="38" t="s">
        <v>186</v>
      </c>
      <c r="J126" s="38" t="s">
        <v>187</v>
      </c>
      <c r="K126" s="41" t="s">
        <v>188</v>
      </c>
      <c r="L126" s="41" t="s">
        <v>189</v>
      </c>
      <c r="M126" s="41" t="s">
        <v>190</v>
      </c>
      <c r="N126" s="41" t="s">
        <v>191</v>
      </c>
      <c r="O126" s="41" t="s">
        <v>192</v>
      </c>
      <c r="P126" s="41" t="s">
        <v>193</v>
      </c>
      <c r="Q126" s="41" t="s">
        <v>194</v>
      </c>
      <c r="R126" s="38" t="s">
        <v>195</v>
      </c>
      <c r="S126" s="38" t="s">
        <v>196</v>
      </c>
      <c r="T126" s="68" t="s">
        <v>197</v>
      </c>
      <c r="U126" s="65"/>
    </row>
    <row r="127" spans="1:21" ht="17.25" customHeight="1" x14ac:dyDescent="0.2">
      <c r="A127" s="65"/>
      <c r="B127" s="67"/>
      <c r="C127" s="68"/>
      <c r="D127" s="69"/>
      <c r="E127" s="70"/>
      <c r="F127" s="71"/>
      <c r="G127" s="39" t="s">
        <v>198</v>
      </c>
      <c r="H127" s="41" t="s">
        <v>185</v>
      </c>
      <c r="I127" s="41" t="s">
        <v>186</v>
      </c>
      <c r="J127" s="41" t="s">
        <v>187</v>
      </c>
      <c r="K127" s="41" t="s">
        <v>188</v>
      </c>
      <c r="L127" s="40" t="s">
        <v>189</v>
      </c>
      <c r="M127" s="40" t="s">
        <v>190</v>
      </c>
      <c r="N127" s="40" t="s">
        <v>191</v>
      </c>
      <c r="O127" s="40" t="s">
        <v>192</v>
      </c>
      <c r="P127" s="40" t="s">
        <v>193</v>
      </c>
      <c r="Q127" s="41" t="s">
        <v>194</v>
      </c>
      <c r="R127" s="41" t="s">
        <v>195</v>
      </c>
      <c r="S127" s="41" t="s">
        <v>196</v>
      </c>
      <c r="T127" s="68"/>
      <c r="U127" s="65"/>
    </row>
    <row r="128" spans="1:21" ht="17.25" customHeight="1" x14ac:dyDescent="0.2">
      <c r="A128" s="64"/>
      <c r="B128" s="72" t="s">
        <v>406</v>
      </c>
      <c r="C128" s="63">
        <v>8000</v>
      </c>
      <c r="D128" s="74">
        <f>C128/0.8</f>
        <v>10000</v>
      </c>
      <c r="E128" s="75" t="s">
        <v>216</v>
      </c>
      <c r="F128" s="76" t="s">
        <v>211</v>
      </c>
      <c r="G128" s="32" t="s">
        <v>184</v>
      </c>
      <c r="H128" s="33" t="s">
        <v>185</v>
      </c>
      <c r="I128" s="33" t="s">
        <v>186</v>
      </c>
      <c r="J128" s="33" t="s">
        <v>187</v>
      </c>
      <c r="K128" s="33" t="s">
        <v>188</v>
      </c>
      <c r="L128" s="34" t="s">
        <v>189</v>
      </c>
      <c r="M128" s="34" t="s">
        <v>190</v>
      </c>
      <c r="N128" s="33" t="s">
        <v>191</v>
      </c>
      <c r="O128" s="33" t="s">
        <v>192</v>
      </c>
      <c r="P128" s="33" t="s">
        <v>193</v>
      </c>
      <c r="Q128" s="34" t="s">
        <v>194</v>
      </c>
      <c r="R128" s="33" t="s">
        <v>195</v>
      </c>
      <c r="S128" s="33" t="s">
        <v>196</v>
      </c>
      <c r="T128" s="63" t="s">
        <v>197</v>
      </c>
      <c r="U128" s="64"/>
    </row>
    <row r="129" spans="1:21" ht="17.25" customHeight="1" x14ac:dyDescent="0.2">
      <c r="A129" s="64"/>
      <c r="B129" s="73"/>
      <c r="C129" s="63"/>
      <c r="D129" s="74"/>
      <c r="E129" s="75"/>
      <c r="F129" s="76"/>
      <c r="G129" s="35" t="s">
        <v>198</v>
      </c>
      <c r="H129" s="36" t="s">
        <v>185</v>
      </c>
      <c r="I129" s="36" t="s">
        <v>186</v>
      </c>
      <c r="J129" s="36" t="s">
        <v>187</v>
      </c>
      <c r="K129" s="43" t="s">
        <v>188</v>
      </c>
      <c r="L129" s="36" t="s">
        <v>189</v>
      </c>
      <c r="M129" s="36" t="s">
        <v>190</v>
      </c>
      <c r="N129" s="36" t="s">
        <v>191</v>
      </c>
      <c r="O129" s="36" t="s">
        <v>192</v>
      </c>
      <c r="P129" s="36" t="s">
        <v>193</v>
      </c>
      <c r="Q129" s="36" t="s">
        <v>194</v>
      </c>
      <c r="R129" s="43" t="s">
        <v>195</v>
      </c>
      <c r="S129" s="43" t="s">
        <v>196</v>
      </c>
      <c r="T129" s="63"/>
      <c r="U129" s="64"/>
    </row>
    <row r="130" spans="1:21" ht="17.25" customHeight="1" x14ac:dyDescent="0.2">
      <c r="A130" s="65"/>
      <c r="B130" s="66" t="s">
        <v>407</v>
      </c>
      <c r="C130" s="68">
        <v>3600</v>
      </c>
      <c r="D130" s="69">
        <f>C130/0.8</f>
        <v>4500</v>
      </c>
      <c r="E130" s="70" t="s">
        <v>216</v>
      </c>
      <c r="F130" s="71" t="s">
        <v>206</v>
      </c>
      <c r="G130" s="37" t="s">
        <v>184</v>
      </c>
      <c r="H130" s="41" t="s">
        <v>185</v>
      </c>
      <c r="I130" s="41" t="s">
        <v>186</v>
      </c>
      <c r="J130" s="41" t="s">
        <v>187</v>
      </c>
      <c r="K130" s="41" t="s">
        <v>188</v>
      </c>
      <c r="L130" s="38" t="s">
        <v>189</v>
      </c>
      <c r="M130" s="38" t="s">
        <v>190</v>
      </c>
      <c r="N130" s="38" t="s">
        <v>191</v>
      </c>
      <c r="O130" s="38" t="s">
        <v>192</v>
      </c>
      <c r="P130" s="38" t="s">
        <v>193</v>
      </c>
      <c r="Q130" s="38" t="s">
        <v>194</v>
      </c>
      <c r="R130" s="41" t="s">
        <v>195</v>
      </c>
      <c r="S130" s="41" t="s">
        <v>196</v>
      </c>
      <c r="T130" s="68" t="s">
        <v>197</v>
      </c>
      <c r="U130" s="65"/>
    </row>
    <row r="131" spans="1:21" ht="17.25" customHeight="1" x14ac:dyDescent="0.2">
      <c r="A131" s="65"/>
      <c r="B131" s="67"/>
      <c r="C131" s="68"/>
      <c r="D131" s="69"/>
      <c r="E131" s="70"/>
      <c r="F131" s="71"/>
      <c r="G131" s="39" t="s">
        <v>198</v>
      </c>
      <c r="H131" s="40" t="s">
        <v>185</v>
      </c>
      <c r="I131" s="40" t="s">
        <v>186</v>
      </c>
      <c r="J131" s="40" t="s">
        <v>187</v>
      </c>
      <c r="K131" s="40" t="s">
        <v>188</v>
      </c>
      <c r="L131" s="41" t="s">
        <v>189</v>
      </c>
      <c r="M131" s="41" t="s">
        <v>190</v>
      </c>
      <c r="N131" s="41" t="s">
        <v>191</v>
      </c>
      <c r="O131" s="41" t="s">
        <v>192</v>
      </c>
      <c r="P131" s="41" t="s">
        <v>193</v>
      </c>
      <c r="Q131" s="41" t="s">
        <v>194</v>
      </c>
      <c r="R131" s="40" t="s">
        <v>195</v>
      </c>
      <c r="S131" s="40" t="s">
        <v>196</v>
      </c>
      <c r="T131" s="68"/>
      <c r="U131" s="65"/>
    </row>
    <row r="132" spans="1:21" ht="17.25" customHeight="1" x14ac:dyDescent="0.2">
      <c r="A132" s="64"/>
      <c r="B132" s="72" t="s">
        <v>408</v>
      </c>
      <c r="C132" s="63">
        <v>4800</v>
      </c>
      <c r="D132" s="74">
        <f>C132/0.8</f>
        <v>6000</v>
      </c>
      <c r="E132" s="75" t="s">
        <v>216</v>
      </c>
      <c r="F132" s="76" t="s">
        <v>206</v>
      </c>
      <c r="G132" s="32" t="s">
        <v>184</v>
      </c>
      <c r="H132" s="34" t="s">
        <v>185</v>
      </c>
      <c r="I132" s="34" t="s">
        <v>186</v>
      </c>
      <c r="J132" s="34" t="s">
        <v>187</v>
      </c>
      <c r="K132" s="34" t="s">
        <v>188</v>
      </c>
      <c r="L132" s="33" t="s">
        <v>189</v>
      </c>
      <c r="M132" s="33" t="s">
        <v>190</v>
      </c>
      <c r="N132" s="33" t="s">
        <v>191</v>
      </c>
      <c r="O132" s="33" t="s">
        <v>192</v>
      </c>
      <c r="P132" s="33" t="s">
        <v>193</v>
      </c>
      <c r="Q132" s="33" t="s">
        <v>194</v>
      </c>
      <c r="R132" s="34" t="s">
        <v>195</v>
      </c>
      <c r="S132" s="34" t="s">
        <v>196</v>
      </c>
      <c r="T132" s="63" t="s">
        <v>197</v>
      </c>
      <c r="U132" s="64"/>
    </row>
    <row r="133" spans="1:21" ht="17.25" customHeight="1" x14ac:dyDescent="0.2">
      <c r="A133" s="64"/>
      <c r="B133" s="73"/>
      <c r="C133" s="63"/>
      <c r="D133" s="74"/>
      <c r="E133" s="75"/>
      <c r="F133" s="76"/>
      <c r="G133" s="35" t="s">
        <v>198</v>
      </c>
      <c r="H133" s="36" t="s">
        <v>185</v>
      </c>
      <c r="I133" s="36" t="s">
        <v>186</v>
      </c>
      <c r="J133" s="36" t="s">
        <v>187</v>
      </c>
      <c r="K133" s="36" t="s">
        <v>188</v>
      </c>
      <c r="L133" s="34" t="s">
        <v>189</v>
      </c>
      <c r="M133" s="34" t="s">
        <v>190</v>
      </c>
      <c r="N133" s="34" t="s">
        <v>191</v>
      </c>
      <c r="O133" s="34" t="s">
        <v>192</v>
      </c>
      <c r="P133" s="34" t="s">
        <v>193</v>
      </c>
      <c r="Q133" s="34" t="s">
        <v>194</v>
      </c>
      <c r="R133" s="36" t="s">
        <v>195</v>
      </c>
      <c r="S133" s="36" t="s">
        <v>196</v>
      </c>
      <c r="T133" s="63"/>
      <c r="U133" s="64"/>
    </row>
    <row r="134" spans="1:21" ht="17.25" customHeight="1" x14ac:dyDescent="0.2">
      <c r="A134" s="65"/>
      <c r="B134" s="66" t="s">
        <v>409</v>
      </c>
      <c r="C134" s="68">
        <v>3200</v>
      </c>
      <c r="D134" s="69">
        <f>C134/0.8</f>
        <v>4000</v>
      </c>
      <c r="E134" s="70" t="s">
        <v>212</v>
      </c>
      <c r="F134" s="71" t="s">
        <v>217</v>
      </c>
      <c r="G134" s="37" t="s">
        <v>184</v>
      </c>
      <c r="H134" s="41" t="s">
        <v>185</v>
      </c>
      <c r="I134" s="41" t="s">
        <v>186</v>
      </c>
      <c r="J134" s="41" t="s">
        <v>187</v>
      </c>
      <c r="K134" s="41" t="s">
        <v>188</v>
      </c>
      <c r="L134" s="41" t="s">
        <v>189</v>
      </c>
      <c r="M134" s="41" t="s">
        <v>190</v>
      </c>
      <c r="N134" s="38" t="s">
        <v>191</v>
      </c>
      <c r="O134" s="38" t="s">
        <v>192</v>
      </c>
      <c r="P134" s="38" t="s">
        <v>193</v>
      </c>
      <c r="Q134" s="41" t="s">
        <v>194</v>
      </c>
      <c r="R134" s="41" t="s">
        <v>195</v>
      </c>
      <c r="S134" s="41" t="s">
        <v>196</v>
      </c>
      <c r="T134" s="68" t="s">
        <v>210</v>
      </c>
      <c r="U134" s="65"/>
    </row>
    <row r="135" spans="1:21" ht="17.25" customHeight="1" x14ac:dyDescent="0.2">
      <c r="A135" s="65"/>
      <c r="B135" s="67"/>
      <c r="C135" s="68"/>
      <c r="D135" s="69"/>
      <c r="E135" s="70"/>
      <c r="F135" s="71"/>
      <c r="G135" s="39" t="s">
        <v>198</v>
      </c>
      <c r="H135" s="40" t="s">
        <v>185</v>
      </c>
      <c r="I135" s="40" t="s">
        <v>186</v>
      </c>
      <c r="J135" s="40" t="s">
        <v>187</v>
      </c>
      <c r="K135" s="41" t="s">
        <v>188</v>
      </c>
      <c r="L135" s="41" t="s">
        <v>189</v>
      </c>
      <c r="M135" s="41" t="s">
        <v>190</v>
      </c>
      <c r="N135" s="41" t="s">
        <v>191</v>
      </c>
      <c r="O135" s="41" t="s">
        <v>192</v>
      </c>
      <c r="P135" s="41" t="s">
        <v>193</v>
      </c>
      <c r="Q135" s="41" t="s">
        <v>194</v>
      </c>
      <c r="R135" s="41" t="s">
        <v>195</v>
      </c>
      <c r="S135" s="41" t="s">
        <v>196</v>
      </c>
      <c r="T135" s="68"/>
      <c r="U135" s="65"/>
    </row>
    <row r="136" spans="1:21" ht="17.25" customHeight="1" x14ac:dyDescent="0.2">
      <c r="A136" s="64"/>
      <c r="B136" s="72" t="s">
        <v>410</v>
      </c>
      <c r="C136" s="63">
        <v>2400</v>
      </c>
      <c r="D136" s="74">
        <f>C136/0.8</f>
        <v>3000</v>
      </c>
      <c r="E136" s="75" t="s">
        <v>212</v>
      </c>
      <c r="F136" s="76" t="s">
        <v>206</v>
      </c>
      <c r="G136" s="32" t="s">
        <v>184</v>
      </c>
      <c r="H136" s="34" t="s">
        <v>185</v>
      </c>
      <c r="I136" s="34" t="s">
        <v>186</v>
      </c>
      <c r="J136" s="34" t="s">
        <v>187</v>
      </c>
      <c r="K136" s="34" t="s">
        <v>188</v>
      </c>
      <c r="L136" s="34" t="s">
        <v>189</v>
      </c>
      <c r="M136" s="34" t="s">
        <v>190</v>
      </c>
      <c r="N136" s="34" t="s">
        <v>191</v>
      </c>
      <c r="O136" s="33" t="s">
        <v>192</v>
      </c>
      <c r="P136" s="33" t="s">
        <v>193</v>
      </c>
      <c r="Q136" s="33" t="s">
        <v>194</v>
      </c>
      <c r="R136" s="33" t="s">
        <v>195</v>
      </c>
      <c r="S136" s="34" t="s">
        <v>196</v>
      </c>
      <c r="T136" s="63" t="s">
        <v>210</v>
      </c>
      <c r="U136" s="64"/>
    </row>
    <row r="137" spans="1:21" ht="17.25" customHeight="1" x14ac:dyDescent="0.2">
      <c r="A137" s="64"/>
      <c r="B137" s="73"/>
      <c r="C137" s="63"/>
      <c r="D137" s="74"/>
      <c r="E137" s="75"/>
      <c r="F137" s="76"/>
      <c r="G137" s="35" t="s">
        <v>198</v>
      </c>
      <c r="H137" s="34" t="s">
        <v>185</v>
      </c>
      <c r="I137" s="36" t="s">
        <v>186</v>
      </c>
      <c r="J137" s="36" t="s">
        <v>187</v>
      </c>
      <c r="K137" s="36" t="s">
        <v>188</v>
      </c>
      <c r="L137" s="36" t="s">
        <v>189</v>
      </c>
      <c r="M137" s="34" t="s">
        <v>190</v>
      </c>
      <c r="N137" s="34" t="s">
        <v>191</v>
      </c>
      <c r="O137" s="34" t="s">
        <v>192</v>
      </c>
      <c r="P137" s="34" t="s">
        <v>193</v>
      </c>
      <c r="Q137" s="34" t="s">
        <v>194</v>
      </c>
      <c r="R137" s="34" t="s">
        <v>195</v>
      </c>
      <c r="S137" s="34" t="s">
        <v>196</v>
      </c>
      <c r="T137" s="63"/>
      <c r="U137" s="64"/>
    </row>
    <row r="138" spans="1:21" ht="17.25" customHeight="1" x14ac:dyDescent="0.2">
      <c r="A138" s="65"/>
      <c r="B138" s="66" t="s">
        <v>411</v>
      </c>
      <c r="C138" s="68">
        <v>9600</v>
      </c>
      <c r="D138" s="69">
        <f>C138/0.8</f>
        <v>12000</v>
      </c>
      <c r="E138" s="70" t="s">
        <v>212</v>
      </c>
      <c r="F138" s="71" t="s">
        <v>217</v>
      </c>
      <c r="G138" s="37" t="s">
        <v>184</v>
      </c>
      <c r="H138" s="41" t="s">
        <v>185</v>
      </c>
      <c r="I138" s="41" t="s">
        <v>186</v>
      </c>
      <c r="J138" s="41" t="s">
        <v>187</v>
      </c>
      <c r="K138" s="41" t="s">
        <v>188</v>
      </c>
      <c r="L138" s="41" t="s">
        <v>189</v>
      </c>
      <c r="M138" s="38" t="s">
        <v>190</v>
      </c>
      <c r="N138" s="38" t="s">
        <v>191</v>
      </c>
      <c r="O138" s="38" t="s">
        <v>192</v>
      </c>
      <c r="P138" s="38" t="s">
        <v>193</v>
      </c>
      <c r="Q138" s="41" t="s">
        <v>194</v>
      </c>
      <c r="R138" s="41" t="s">
        <v>195</v>
      </c>
      <c r="S138" s="41" t="s">
        <v>196</v>
      </c>
      <c r="T138" s="68" t="s">
        <v>202</v>
      </c>
      <c r="U138" s="65"/>
    </row>
    <row r="139" spans="1:21" ht="17.25" customHeight="1" x14ac:dyDescent="0.2">
      <c r="A139" s="65"/>
      <c r="B139" s="67"/>
      <c r="C139" s="68"/>
      <c r="D139" s="69"/>
      <c r="E139" s="70"/>
      <c r="F139" s="71"/>
      <c r="G139" s="39" t="s">
        <v>198</v>
      </c>
      <c r="H139" s="40" t="s">
        <v>185</v>
      </c>
      <c r="I139" s="40" t="s">
        <v>186</v>
      </c>
      <c r="J139" s="40" t="s">
        <v>187</v>
      </c>
      <c r="K139" s="41" t="s">
        <v>188</v>
      </c>
      <c r="L139" s="41" t="s">
        <v>189</v>
      </c>
      <c r="M139" s="41" t="s">
        <v>190</v>
      </c>
      <c r="N139" s="41" t="s">
        <v>191</v>
      </c>
      <c r="O139" s="41" t="s">
        <v>192</v>
      </c>
      <c r="P139" s="41" t="s">
        <v>193</v>
      </c>
      <c r="Q139" s="41" t="s">
        <v>194</v>
      </c>
      <c r="R139" s="41" t="s">
        <v>195</v>
      </c>
      <c r="S139" s="40" t="s">
        <v>196</v>
      </c>
      <c r="T139" s="68"/>
      <c r="U139" s="65"/>
    </row>
    <row r="140" spans="1:21" ht="17.25" customHeight="1" x14ac:dyDescent="0.2">
      <c r="A140" s="64"/>
      <c r="B140" s="72" t="s">
        <v>412</v>
      </c>
      <c r="C140" s="63">
        <v>6400</v>
      </c>
      <c r="D140" s="74">
        <f>C140/0.8</f>
        <v>8000</v>
      </c>
      <c r="E140" s="75" t="s">
        <v>212</v>
      </c>
      <c r="F140" s="76" t="s">
        <v>217</v>
      </c>
      <c r="G140" s="32" t="s">
        <v>184</v>
      </c>
      <c r="H140" s="34" t="s">
        <v>185</v>
      </c>
      <c r="I140" s="34" t="s">
        <v>186</v>
      </c>
      <c r="J140" s="34" t="s">
        <v>187</v>
      </c>
      <c r="K140" s="34" t="s">
        <v>188</v>
      </c>
      <c r="L140" s="34" t="s">
        <v>189</v>
      </c>
      <c r="M140" s="33" t="s">
        <v>190</v>
      </c>
      <c r="N140" s="33" t="s">
        <v>191</v>
      </c>
      <c r="O140" s="33" t="s">
        <v>192</v>
      </c>
      <c r="P140" s="33" t="s">
        <v>193</v>
      </c>
      <c r="Q140" s="34" t="s">
        <v>194</v>
      </c>
      <c r="R140" s="34" t="s">
        <v>195</v>
      </c>
      <c r="S140" s="34" t="s">
        <v>196</v>
      </c>
      <c r="T140" s="63" t="s">
        <v>202</v>
      </c>
      <c r="U140" s="64"/>
    </row>
    <row r="141" spans="1:21" ht="17.25" customHeight="1" x14ac:dyDescent="0.2">
      <c r="A141" s="64"/>
      <c r="B141" s="73"/>
      <c r="C141" s="63"/>
      <c r="D141" s="74"/>
      <c r="E141" s="75"/>
      <c r="F141" s="76"/>
      <c r="G141" s="35" t="s">
        <v>198</v>
      </c>
      <c r="H141" s="36" t="s">
        <v>185</v>
      </c>
      <c r="I141" s="36" t="s">
        <v>186</v>
      </c>
      <c r="J141" s="36" t="s">
        <v>187</v>
      </c>
      <c r="K141" s="34" t="s">
        <v>188</v>
      </c>
      <c r="L141" s="34" t="s">
        <v>189</v>
      </c>
      <c r="M141" s="34" t="s">
        <v>190</v>
      </c>
      <c r="N141" s="34" t="s">
        <v>191</v>
      </c>
      <c r="O141" s="34" t="s">
        <v>192</v>
      </c>
      <c r="P141" s="34" t="s">
        <v>193</v>
      </c>
      <c r="Q141" s="34" t="s">
        <v>194</v>
      </c>
      <c r="R141" s="34" t="s">
        <v>195</v>
      </c>
      <c r="S141" s="36" t="s">
        <v>196</v>
      </c>
      <c r="T141" s="63"/>
      <c r="U141" s="64"/>
    </row>
    <row r="142" spans="1:21" ht="17.25" customHeight="1" x14ac:dyDescent="0.2">
      <c r="A142" s="65"/>
      <c r="B142" s="66" t="s">
        <v>413</v>
      </c>
      <c r="C142" s="68">
        <v>12000</v>
      </c>
      <c r="D142" s="69">
        <f>C142/0.8</f>
        <v>15000</v>
      </c>
      <c r="E142" s="70" t="s">
        <v>212</v>
      </c>
      <c r="F142" s="71" t="s">
        <v>217</v>
      </c>
      <c r="G142" s="37" t="s">
        <v>184</v>
      </c>
      <c r="H142" s="41" t="s">
        <v>185</v>
      </c>
      <c r="I142" s="41" t="s">
        <v>186</v>
      </c>
      <c r="J142" s="41" t="s">
        <v>187</v>
      </c>
      <c r="K142" s="41" t="s">
        <v>188</v>
      </c>
      <c r="L142" s="41" t="s">
        <v>189</v>
      </c>
      <c r="M142" s="38" t="s">
        <v>190</v>
      </c>
      <c r="N142" s="38" t="s">
        <v>191</v>
      </c>
      <c r="O142" s="38" t="s">
        <v>192</v>
      </c>
      <c r="P142" s="38" t="s">
        <v>193</v>
      </c>
      <c r="Q142" s="41" t="s">
        <v>194</v>
      </c>
      <c r="R142" s="41" t="s">
        <v>195</v>
      </c>
      <c r="S142" s="41" t="s">
        <v>196</v>
      </c>
      <c r="T142" s="68" t="s">
        <v>202</v>
      </c>
      <c r="U142" s="65"/>
    </row>
    <row r="143" spans="1:21" ht="17.25" customHeight="1" x14ac:dyDescent="0.2">
      <c r="A143" s="65"/>
      <c r="B143" s="67"/>
      <c r="C143" s="68"/>
      <c r="D143" s="69"/>
      <c r="E143" s="70"/>
      <c r="F143" s="71"/>
      <c r="G143" s="39" t="s">
        <v>198</v>
      </c>
      <c r="H143" s="40" t="s">
        <v>185</v>
      </c>
      <c r="I143" s="40" t="s">
        <v>186</v>
      </c>
      <c r="J143" s="40" t="s">
        <v>187</v>
      </c>
      <c r="K143" s="41" t="s">
        <v>188</v>
      </c>
      <c r="L143" s="41" t="s">
        <v>189</v>
      </c>
      <c r="M143" s="41" t="s">
        <v>190</v>
      </c>
      <c r="N143" s="41" t="s">
        <v>191</v>
      </c>
      <c r="O143" s="41" t="s">
        <v>192</v>
      </c>
      <c r="P143" s="41" t="s">
        <v>193</v>
      </c>
      <c r="Q143" s="41" t="s">
        <v>194</v>
      </c>
      <c r="R143" s="41" t="s">
        <v>195</v>
      </c>
      <c r="S143" s="40" t="s">
        <v>196</v>
      </c>
      <c r="T143" s="68"/>
      <c r="U143" s="65"/>
    </row>
    <row r="144" spans="1:21" ht="17.25" customHeight="1" x14ac:dyDescent="0.2">
      <c r="A144" s="64"/>
      <c r="B144" s="72" t="s">
        <v>414</v>
      </c>
      <c r="C144" s="63">
        <v>10400</v>
      </c>
      <c r="D144" s="74">
        <f>C144/0.8</f>
        <v>13000</v>
      </c>
      <c r="E144" s="75" t="s">
        <v>212</v>
      </c>
      <c r="F144" s="76" t="s">
        <v>217</v>
      </c>
      <c r="G144" s="32" t="s">
        <v>184</v>
      </c>
      <c r="H144" s="34" t="s">
        <v>185</v>
      </c>
      <c r="I144" s="34" t="s">
        <v>186</v>
      </c>
      <c r="J144" s="34" t="s">
        <v>187</v>
      </c>
      <c r="K144" s="34" t="s">
        <v>188</v>
      </c>
      <c r="L144" s="34" t="s">
        <v>189</v>
      </c>
      <c r="M144" s="33" t="s">
        <v>190</v>
      </c>
      <c r="N144" s="33" t="s">
        <v>191</v>
      </c>
      <c r="O144" s="33" t="s">
        <v>192</v>
      </c>
      <c r="P144" s="33" t="s">
        <v>193</v>
      </c>
      <c r="Q144" s="34" t="s">
        <v>194</v>
      </c>
      <c r="R144" s="34" t="s">
        <v>195</v>
      </c>
      <c r="S144" s="34" t="s">
        <v>196</v>
      </c>
      <c r="T144" s="63" t="s">
        <v>197</v>
      </c>
      <c r="U144" s="64"/>
    </row>
    <row r="145" spans="1:21" ht="17.25" customHeight="1" x14ac:dyDescent="0.2">
      <c r="A145" s="64"/>
      <c r="B145" s="73"/>
      <c r="C145" s="63"/>
      <c r="D145" s="74"/>
      <c r="E145" s="75"/>
      <c r="F145" s="76"/>
      <c r="G145" s="35" t="s">
        <v>198</v>
      </c>
      <c r="H145" s="36" t="s">
        <v>185</v>
      </c>
      <c r="I145" s="36" t="s">
        <v>186</v>
      </c>
      <c r="J145" s="36" t="s">
        <v>187</v>
      </c>
      <c r="K145" s="34" t="s">
        <v>188</v>
      </c>
      <c r="L145" s="34" t="s">
        <v>189</v>
      </c>
      <c r="M145" s="34" t="s">
        <v>190</v>
      </c>
      <c r="N145" s="34" t="s">
        <v>191</v>
      </c>
      <c r="O145" s="34" t="s">
        <v>192</v>
      </c>
      <c r="P145" s="34" t="s">
        <v>193</v>
      </c>
      <c r="Q145" s="34" t="s">
        <v>194</v>
      </c>
      <c r="R145" s="34" t="s">
        <v>195</v>
      </c>
      <c r="S145" s="36" t="s">
        <v>196</v>
      </c>
      <c r="T145" s="63"/>
      <c r="U145" s="64"/>
    </row>
    <row r="146" spans="1:21" ht="17.25" customHeight="1" x14ac:dyDescent="0.2">
      <c r="A146" s="65"/>
      <c r="B146" s="66" t="s">
        <v>415</v>
      </c>
      <c r="C146" s="68">
        <v>1200</v>
      </c>
      <c r="D146" s="69">
        <f>C146/0.8</f>
        <v>1500</v>
      </c>
      <c r="E146" s="70" t="s">
        <v>212</v>
      </c>
      <c r="F146" s="71" t="s">
        <v>217</v>
      </c>
      <c r="G146" s="37" t="s">
        <v>184</v>
      </c>
      <c r="H146" s="41" t="s">
        <v>185</v>
      </c>
      <c r="I146" s="41" t="s">
        <v>186</v>
      </c>
      <c r="J146" s="41" t="s">
        <v>187</v>
      </c>
      <c r="K146" s="41" t="s">
        <v>188</v>
      </c>
      <c r="L146" s="41" t="s">
        <v>189</v>
      </c>
      <c r="M146" s="38" t="s">
        <v>190</v>
      </c>
      <c r="N146" s="38" t="s">
        <v>191</v>
      </c>
      <c r="O146" s="38" t="s">
        <v>192</v>
      </c>
      <c r="P146" s="38" t="s">
        <v>193</v>
      </c>
      <c r="Q146" s="41" t="s">
        <v>194</v>
      </c>
      <c r="R146" s="41" t="s">
        <v>195</v>
      </c>
      <c r="S146" s="41" t="s">
        <v>196</v>
      </c>
      <c r="T146" s="68" t="s">
        <v>197</v>
      </c>
      <c r="U146" s="65"/>
    </row>
    <row r="147" spans="1:21" ht="17.25" customHeight="1" x14ac:dyDescent="0.2">
      <c r="A147" s="65"/>
      <c r="B147" s="67"/>
      <c r="C147" s="68"/>
      <c r="D147" s="69"/>
      <c r="E147" s="70"/>
      <c r="F147" s="71"/>
      <c r="G147" s="39" t="s">
        <v>198</v>
      </c>
      <c r="H147" s="40" t="s">
        <v>185</v>
      </c>
      <c r="I147" s="40" t="s">
        <v>186</v>
      </c>
      <c r="J147" s="40" t="s">
        <v>187</v>
      </c>
      <c r="K147" s="41" t="s">
        <v>188</v>
      </c>
      <c r="L147" s="41" t="s">
        <v>189</v>
      </c>
      <c r="M147" s="41" t="s">
        <v>190</v>
      </c>
      <c r="N147" s="41" t="s">
        <v>191</v>
      </c>
      <c r="O147" s="41" t="s">
        <v>192</v>
      </c>
      <c r="P147" s="41" t="s">
        <v>193</v>
      </c>
      <c r="Q147" s="41" t="s">
        <v>194</v>
      </c>
      <c r="R147" s="41" t="s">
        <v>195</v>
      </c>
      <c r="S147" s="40" t="s">
        <v>196</v>
      </c>
      <c r="T147" s="68"/>
      <c r="U147" s="65"/>
    </row>
    <row r="148" spans="1:21" ht="17.25" customHeight="1" x14ac:dyDescent="0.2">
      <c r="A148" s="64"/>
      <c r="B148" s="72" t="s">
        <v>416</v>
      </c>
      <c r="C148" s="63">
        <v>2000</v>
      </c>
      <c r="D148" s="74">
        <f>C148/0.8</f>
        <v>2500</v>
      </c>
      <c r="E148" s="75" t="s">
        <v>212</v>
      </c>
      <c r="F148" s="76" t="s">
        <v>204</v>
      </c>
      <c r="G148" s="32" t="s">
        <v>184</v>
      </c>
      <c r="H148" s="33" t="s">
        <v>185</v>
      </c>
      <c r="I148" s="33" t="s">
        <v>186</v>
      </c>
      <c r="J148" s="33" t="s">
        <v>187</v>
      </c>
      <c r="K148" s="34" t="s">
        <v>188</v>
      </c>
      <c r="L148" s="34" t="s">
        <v>189</v>
      </c>
      <c r="M148" s="34" t="s">
        <v>190</v>
      </c>
      <c r="N148" s="34" t="s">
        <v>191</v>
      </c>
      <c r="O148" s="34" t="s">
        <v>192</v>
      </c>
      <c r="P148" s="34" t="s">
        <v>193</v>
      </c>
      <c r="Q148" s="34" t="s">
        <v>194</v>
      </c>
      <c r="R148" s="33" t="s">
        <v>195</v>
      </c>
      <c r="S148" s="33" t="s">
        <v>196</v>
      </c>
      <c r="T148" s="63" t="s">
        <v>202</v>
      </c>
      <c r="U148" s="64"/>
    </row>
    <row r="149" spans="1:21" ht="17.25" customHeight="1" x14ac:dyDescent="0.2">
      <c r="A149" s="64"/>
      <c r="B149" s="73"/>
      <c r="C149" s="63"/>
      <c r="D149" s="74"/>
      <c r="E149" s="75"/>
      <c r="F149" s="76"/>
      <c r="G149" s="35" t="s">
        <v>198</v>
      </c>
      <c r="H149" s="34" t="s">
        <v>185</v>
      </c>
      <c r="I149" s="34" t="s">
        <v>186</v>
      </c>
      <c r="J149" s="34" t="s">
        <v>187</v>
      </c>
      <c r="K149" s="34" t="s">
        <v>188</v>
      </c>
      <c r="L149" s="36" t="s">
        <v>189</v>
      </c>
      <c r="M149" s="36" t="s">
        <v>190</v>
      </c>
      <c r="N149" s="36" t="s">
        <v>191</v>
      </c>
      <c r="O149" s="36" t="s">
        <v>192</v>
      </c>
      <c r="P149" s="36" t="s">
        <v>193</v>
      </c>
      <c r="Q149" s="34" t="s">
        <v>194</v>
      </c>
      <c r="R149" s="34" t="s">
        <v>195</v>
      </c>
      <c r="S149" s="34" t="s">
        <v>196</v>
      </c>
      <c r="T149" s="63"/>
      <c r="U149" s="64"/>
    </row>
    <row r="150" spans="1:21" ht="17.25" customHeight="1" x14ac:dyDescent="0.2">
      <c r="A150" s="65"/>
      <c r="B150" s="66" t="s">
        <v>417</v>
      </c>
      <c r="C150" s="68">
        <v>7200</v>
      </c>
      <c r="D150" s="69">
        <f>C150/0.8</f>
        <v>9000</v>
      </c>
      <c r="E150" s="70" t="s">
        <v>212</v>
      </c>
      <c r="F150" s="71" t="s">
        <v>211</v>
      </c>
      <c r="G150" s="37" t="s">
        <v>184</v>
      </c>
      <c r="H150" s="38" t="s">
        <v>185</v>
      </c>
      <c r="I150" s="38" t="s">
        <v>186</v>
      </c>
      <c r="J150" s="38" t="s">
        <v>187</v>
      </c>
      <c r="K150" s="38" t="s">
        <v>188</v>
      </c>
      <c r="L150" s="38" t="s">
        <v>189</v>
      </c>
      <c r="M150" s="41" t="s">
        <v>190</v>
      </c>
      <c r="N150" s="41" t="s">
        <v>191</v>
      </c>
      <c r="O150" s="41" t="s">
        <v>192</v>
      </c>
      <c r="P150" s="41" t="s">
        <v>193</v>
      </c>
      <c r="Q150" s="41" t="s">
        <v>194</v>
      </c>
      <c r="R150" s="41" t="s">
        <v>195</v>
      </c>
      <c r="S150" s="38" t="s">
        <v>196</v>
      </c>
      <c r="T150" s="68" t="s">
        <v>197</v>
      </c>
      <c r="U150" s="65"/>
    </row>
    <row r="151" spans="1:21" ht="17.25" customHeight="1" x14ac:dyDescent="0.2">
      <c r="A151" s="65"/>
      <c r="B151" s="67"/>
      <c r="C151" s="68"/>
      <c r="D151" s="69"/>
      <c r="E151" s="70"/>
      <c r="F151" s="71"/>
      <c r="G151" s="39" t="s">
        <v>198</v>
      </c>
      <c r="H151" s="41" t="s">
        <v>185</v>
      </c>
      <c r="I151" s="41" t="s">
        <v>186</v>
      </c>
      <c r="J151" s="41" t="s">
        <v>187</v>
      </c>
      <c r="K151" s="41" t="s">
        <v>188</v>
      </c>
      <c r="L151" s="41" t="s">
        <v>189</v>
      </c>
      <c r="M151" s="40" t="s">
        <v>190</v>
      </c>
      <c r="N151" s="40" t="s">
        <v>191</v>
      </c>
      <c r="O151" s="40" t="s">
        <v>192</v>
      </c>
      <c r="P151" s="40" t="s">
        <v>193</v>
      </c>
      <c r="Q151" s="40" t="s">
        <v>194</v>
      </c>
      <c r="R151" s="40" t="s">
        <v>195</v>
      </c>
      <c r="S151" s="41" t="s">
        <v>196</v>
      </c>
      <c r="T151" s="68"/>
      <c r="U151" s="65"/>
    </row>
    <row r="152" spans="1:21" ht="17.25" customHeight="1" x14ac:dyDescent="0.2">
      <c r="A152" s="64"/>
      <c r="B152" s="72" t="s">
        <v>418</v>
      </c>
      <c r="C152" s="63">
        <v>12000</v>
      </c>
      <c r="D152" s="74">
        <f>C152/0.8</f>
        <v>15000</v>
      </c>
      <c r="E152" s="75" t="s">
        <v>212</v>
      </c>
      <c r="F152" s="76" t="s">
        <v>200</v>
      </c>
      <c r="G152" s="32" t="s">
        <v>184</v>
      </c>
      <c r="H152" s="33" t="s">
        <v>185</v>
      </c>
      <c r="I152" s="33" t="s">
        <v>186</v>
      </c>
      <c r="J152" s="33" t="s">
        <v>187</v>
      </c>
      <c r="K152" s="33" t="s">
        <v>188</v>
      </c>
      <c r="L152" s="33" t="s">
        <v>189</v>
      </c>
      <c r="M152" s="33" t="s">
        <v>190</v>
      </c>
      <c r="N152" s="33" t="s">
        <v>191</v>
      </c>
      <c r="O152" s="33" t="s">
        <v>192</v>
      </c>
      <c r="P152" s="33" t="s">
        <v>193</v>
      </c>
      <c r="Q152" s="33" t="s">
        <v>194</v>
      </c>
      <c r="R152" s="33" t="s">
        <v>195</v>
      </c>
      <c r="S152" s="33" t="s">
        <v>196</v>
      </c>
      <c r="T152" s="63" t="s">
        <v>205</v>
      </c>
      <c r="U152" s="64"/>
    </row>
    <row r="153" spans="1:21" ht="17.25" customHeight="1" x14ac:dyDescent="0.2">
      <c r="A153" s="64"/>
      <c r="B153" s="73"/>
      <c r="C153" s="63"/>
      <c r="D153" s="74"/>
      <c r="E153" s="75"/>
      <c r="F153" s="76"/>
      <c r="G153" s="35" t="s">
        <v>198</v>
      </c>
      <c r="H153" s="36" t="s">
        <v>185</v>
      </c>
      <c r="I153" s="36" t="s">
        <v>186</v>
      </c>
      <c r="J153" s="36" t="s">
        <v>187</v>
      </c>
      <c r="K153" s="36" t="s">
        <v>188</v>
      </c>
      <c r="L153" s="36" t="s">
        <v>189</v>
      </c>
      <c r="M153" s="36" t="s">
        <v>190</v>
      </c>
      <c r="N153" s="36" t="s">
        <v>191</v>
      </c>
      <c r="O153" s="36" t="s">
        <v>192</v>
      </c>
      <c r="P153" s="36" t="s">
        <v>193</v>
      </c>
      <c r="Q153" s="36" t="s">
        <v>194</v>
      </c>
      <c r="R153" s="36" t="s">
        <v>195</v>
      </c>
      <c r="S153" s="36" t="s">
        <v>196</v>
      </c>
      <c r="T153" s="63"/>
      <c r="U153" s="64"/>
    </row>
    <row r="154" spans="1:21" ht="17.25" customHeight="1" x14ac:dyDescent="0.2">
      <c r="A154" s="65"/>
      <c r="B154" s="66" t="s">
        <v>419</v>
      </c>
      <c r="C154" s="68">
        <v>12000</v>
      </c>
      <c r="D154" s="69">
        <f>C154/0.8</f>
        <v>15000</v>
      </c>
      <c r="E154" s="70" t="s">
        <v>218</v>
      </c>
      <c r="F154" s="71" t="s">
        <v>211</v>
      </c>
      <c r="G154" s="37" t="s">
        <v>184</v>
      </c>
      <c r="H154" s="38" t="s">
        <v>185</v>
      </c>
      <c r="I154" s="38" t="s">
        <v>186</v>
      </c>
      <c r="J154" s="38" t="s">
        <v>187</v>
      </c>
      <c r="K154" s="38" t="s">
        <v>188</v>
      </c>
      <c r="L154" s="38" t="s">
        <v>189</v>
      </c>
      <c r="M154" s="38" t="s">
        <v>190</v>
      </c>
      <c r="N154" s="38" t="s">
        <v>191</v>
      </c>
      <c r="O154" s="38" t="s">
        <v>192</v>
      </c>
      <c r="P154" s="38" t="s">
        <v>193</v>
      </c>
      <c r="Q154" s="38" t="s">
        <v>194</v>
      </c>
      <c r="R154" s="38" t="s">
        <v>195</v>
      </c>
      <c r="S154" s="38" t="s">
        <v>196</v>
      </c>
      <c r="T154" s="68" t="s">
        <v>197</v>
      </c>
      <c r="U154" s="65"/>
    </row>
    <row r="155" spans="1:21" ht="17.25" customHeight="1" x14ac:dyDescent="0.2">
      <c r="A155" s="65"/>
      <c r="B155" s="67"/>
      <c r="C155" s="68"/>
      <c r="D155" s="69"/>
      <c r="E155" s="70"/>
      <c r="F155" s="71"/>
      <c r="G155" s="39" t="s">
        <v>198</v>
      </c>
      <c r="H155" s="40" t="s">
        <v>185</v>
      </c>
      <c r="I155" s="40" t="s">
        <v>186</v>
      </c>
      <c r="J155" s="40" t="s">
        <v>187</v>
      </c>
      <c r="K155" s="40" t="s">
        <v>188</v>
      </c>
      <c r="L155" s="40" t="s">
        <v>189</v>
      </c>
      <c r="M155" s="40" t="s">
        <v>190</v>
      </c>
      <c r="N155" s="40" t="s">
        <v>191</v>
      </c>
      <c r="O155" s="40" t="s">
        <v>192</v>
      </c>
      <c r="P155" s="40" t="s">
        <v>193</v>
      </c>
      <c r="Q155" s="40" t="s">
        <v>194</v>
      </c>
      <c r="R155" s="40" t="s">
        <v>195</v>
      </c>
      <c r="S155" s="40" t="s">
        <v>196</v>
      </c>
      <c r="T155" s="68"/>
      <c r="U155" s="65"/>
    </row>
  </sheetData>
  <mergeCells count="616">
    <mergeCell ref="T2:T3"/>
    <mergeCell ref="U2:U3"/>
    <mergeCell ref="A4:A5"/>
    <mergeCell ref="B4:B5"/>
    <mergeCell ref="C4:C5"/>
    <mergeCell ref="D4:D5"/>
    <mergeCell ref="E4:E5"/>
    <mergeCell ref="F4:F5"/>
    <mergeCell ref="T4:T5"/>
    <mergeCell ref="U4:U5"/>
    <mergeCell ref="A2:A3"/>
    <mergeCell ref="B2:B3"/>
    <mergeCell ref="C2:C3"/>
    <mergeCell ref="D2:D3"/>
    <mergeCell ref="E2:E3"/>
    <mergeCell ref="F2:F3"/>
    <mergeCell ref="T6:T7"/>
    <mergeCell ref="U6:U7"/>
    <mergeCell ref="A8:A9"/>
    <mergeCell ref="B8:B9"/>
    <mergeCell ref="C8:C9"/>
    <mergeCell ref="D8:D9"/>
    <mergeCell ref="E8:E9"/>
    <mergeCell ref="F8:F9"/>
    <mergeCell ref="T8:T9"/>
    <mergeCell ref="U8:U9"/>
    <mergeCell ref="A6:A7"/>
    <mergeCell ref="B6:B7"/>
    <mergeCell ref="C6:C7"/>
    <mergeCell ref="D6:D7"/>
    <mergeCell ref="E6:E7"/>
    <mergeCell ref="F6:F7"/>
    <mergeCell ref="T10:T11"/>
    <mergeCell ref="U10:U11"/>
    <mergeCell ref="A12:A13"/>
    <mergeCell ref="B12:B13"/>
    <mergeCell ref="C12:C13"/>
    <mergeCell ref="D12:D13"/>
    <mergeCell ref="E12:E13"/>
    <mergeCell ref="F12:F13"/>
    <mergeCell ref="T12:T13"/>
    <mergeCell ref="U12:U13"/>
    <mergeCell ref="A10:A11"/>
    <mergeCell ref="B10:B11"/>
    <mergeCell ref="C10:C11"/>
    <mergeCell ref="D10:D11"/>
    <mergeCell ref="E10:E11"/>
    <mergeCell ref="F10:F11"/>
    <mergeCell ref="T18:T19"/>
    <mergeCell ref="U18:U19"/>
    <mergeCell ref="A18:A19"/>
    <mergeCell ref="B18:B19"/>
    <mergeCell ref="C18:C19"/>
    <mergeCell ref="D18:D19"/>
    <mergeCell ref="E18:E19"/>
    <mergeCell ref="F18:F19"/>
    <mergeCell ref="T14:T15"/>
    <mergeCell ref="U14:U15"/>
    <mergeCell ref="A16:A17"/>
    <mergeCell ref="B16:B17"/>
    <mergeCell ref="C16:C17"/>
    <mergeCell ref="D16:D17"/>
    <mergeCell ref="E16:E17"/>
    <mergeCell ref="F16:F17"/>
    <mergeCell ref="T16:T17"/>
    <mergeCell ref="U16:U17"/>
    <mergeCell ref="A14:A15"/>
    <mergeCell ref="B14:B15"/>
    <mergeCell ref="C14:C15"/>
    <mergeCell ref="D14:D15"/>
    <mergeCell ref="E14:E15"/>
    <mergeCell ref="F14:F15"/>
    <mergeCell ref="T20:T21"/>
    <mergeCell ref="U20:U21"/>
    <mergeCell ref="A22:A23"/>
    <mergeCell ref="B22:B23"/>
    <mergeCell ref="C22:C23"/>
    <mergeCell ref="D22:D23"/>
    <mergeCell ref="E22:E23"/>
    <mergeCell ref="F22:F23"/>
    <mergeCell ref="T22:T23"/>
    <mergeCell ref="U22:U23"/>
    <mergeCell ref="A20:A21"/>
    <mergeCell ref="B20:B21"/>
    <mergeCell ref="C20:C21"/>
    <mergeCell ref="D20:D21"/>
    <mergeCell ref="E20:E21"/>
    <mergeCell ref="F20:F21"/>
    <mergeCell ref="T24:T25"/>
    <mergeCell ref="U24:U25"/>
    <mergeCell ref="A26:A27"/>
    <mergeCell ref="B26:B27"/>
    <mergeCell ref="C26:C27"/>
    <mergeCell ref="D26:D27"/>
    <mergeCell ref="E26:E27"/>
    <mergeCell ref="F26:F27"/>
    <mergeCell ref="T26:T27"/>
    <mergeCell ref="U26:U27"/>
    <mergeCell ref="A24:A25"/>
    <mergeCell ref="B24:B25"/>
    <mergeCell ref="C24:C25"/>
    <mergeCell ref="D24:D25"/>
    <mergeCell ref="E24:E25"/>
    <mergeCell ref="F24:F25"/>
    <mergeCell ref="T28:T29"/>
    <mergeCell ref="U28:U29"/>
    <mergeCell ref="A30:A31"/>
    <mergeCell ref="B30:B31"/>
    <mergeCell ref="C30:C31"/>
    <mergeCell ref="D30:D31"/>
    <mergeCell ref="E30:E31"/>
    <mergeCell ref="F30:F31"/>
    <mergeCell ref="T30:T31"/>
    <mergeCell ref="U30:U31"/>
    <mergeCell ref="A28:A29"/>
    <mergeCell ref="B28:B29"/>
    <mergeCell ref="C28:C29"/>
    <mergeCell ref="D28:D29"/>
    <mergeCell ref="E28:E29"/>
    <mergeCell ref="F28:F29"/>
    <mergeCell ref="A36:A37"/>
    <mergeCell ref="B36:B37"/>
    <mergeCell ref="C36:C37"/>
    <mergeCell ref="D36:D37"/>
    <mergeCell ref="E36:E37"/>
    <mergeCell ref="F36:F37"/>
    <mergeCell ref="T36:T37"/>
    <mergeCell ref="U36:U37"/>
    <mergeCell ref="T32:T33"/>
    <mergeCell ref="U32:U33"/>
    <mergeCell ref="A34:A35"/>
    <mergeCell ref="B34:B35"/>
    <mergeCell ref="C34:C35"/>
    <mergeCell ref="D34:D35"/>
    <mergeCell ref="E34:E35"/>
    <mergeCell ref="F34:F35"/>
    <mergeCell ref="T34:T35"/>
    <mergeCell ref="U34:U35"/>
    <mergeCell ref="A32:A33"/>
    <mergeCell ref="B32:B33"/>
    <mergeCell ref="C32:C33"/>
    <mergeCell ref="D32:D33"/>
    <mergeCell ref="E32:E33"/>
    <mergeCell ref="F32:F33"/>
    <mergeCell ref="T38:T39"/>
    <mergeCell ref="U38:U39"/>
    <mergeCell ref="A40:A41"/>
    <mergeCell ref="B40:B41"/>
    <mergeCell ref="C40:C41"/>
    <mergeCell ref="D40:D41"/>
    <mergeCell ref="E40:E41"/>
    <mergeCell ref="F40:F41"/>
    <mergeCell ref="T40:T41"/>
    <mergeCell ref="U40:U41"/>
    <mergeCell ref="A38:A39"/>
    <mergeCell ref="B38:B39"/>
    <mergeCell ref="C38:C39"/>
    <mergeCell ref="D38:D39"/>
    <mergeCell ref="E38:E39"/>
    <mergeCell ref="F38:F39"/>
    <mergeCell ref="A46:A47"/>
    <mergeCell ref="B46:B47"/>
    <mergeCell ref="C46:C47"/>
    <mergeCell ref="D46:D47"/>
    <mergeCell ref="E46:E47"/>
    <mergeCell ref="F46:F47"/>
    <mergeCell ref="T46:T47"/>
    <mergeCell ref="U46:U47"/>
    <mergeCell ref="T42:T43"/>
    <mergeCell ref="U42:U43"/>
    <mergeCell ref="A44:A45"/>
    <mergeCell ref="B44:B45"/>
    <mergeCell ref="C44:C45"/>
    <mergeCell ref="D44:D45"/>
    <mergeCell ref="E44:E45"/>
    <mergeCell ref="F44:F45"/>
    <mergeCell ref="T44:T45"/>
    <mergeCell ref="U44:U45"/>
    <mergeCell ref="A42:A43"/>
    <mergeCell ref="B42:B43"/>
    <mergeCell ref="C42:C43"/>
    <mergeCell ref="D42:D43"/>
    <mergeCell ref="E42:E43"/>
    <mergeCell ref="F42:F43"/>
    <mergeCell ref="T48:T49"/>
    <mergeCell ref="U48:U49"/>
    <mergeCell ref="A50:A51"/>
    <mergeCell ref="B50:B51"/>
    <mergeCell ref="C50:C51"/>
    <mergeCell ref="D50:D51"/>
    <mergeCell ref="E50:E51"/>
    <mergeCell ref="F50:F51"/>
    <mergeCell ref="T50:T51"/>
    <mergeCell ref="U50:U51"/>
    <mergeCell ref="A48:A49"/>
    <mergeCell ref="B48:B49"/>
    <mergeCell ref="C48:C49"/>
    <mergeCell ref="D48:D49"/>
    <mergeCell ref="E48:E49"/>
    <mergeCell ref="F48:F49"/>
    <mergeCell ref="T52:T53"/>
    <mergeCell ref="U52:U53"/>
    <mergeCell ref="A54:A55"/>
    <mergeCell ref="B54:B55"/>
    <mergeCell ref="C54:C55"/>
    <mergeCell ref="D54:D55"/>
    <mergeCell ref="E54:E55"/>
    <mergeCell ref="F54:F55"/>
    <mergeCell ref="T54:T55"/>
    <mergeCell ref="U54:U55"/>
    <mergeCell ref="A52:A53"/>
    <mergeCell ref="B52:B53"/>
    <mergeCell ref="C52:C53"/>
    <mergeCell ref="D52:D53"/>
    <mergeCell ref="E52:E53"/>
    <mergeCell ref="F52:F53"/>
    <mergeCell ref="T56:T57"/>
    <mergeCell ref="U56:U57"/>
    <mergeCell ref="A58:A59"/>
    <mergeCell ref="B58:B59"/>
    <mergeCell ref="C58:C59"/>
    <mergeCell ref="D58:D59"/>
    <mergeCell ref="E58:E59"/>
    <mergeCell ref="F58:F59"/>
    <mergeCell ref="T58:T59"/>
    <mergeCell ref="U58:U59"/>
    <mergeCell ref="A56:A57"/>
    <mergeCell ref="B56:B57"/>
    <mergeCell ref="C56:C57"/>
    <mergeCell ref="D56:D57"/>
    <mergeCell ref="E56:E57"/>
    <mergeCell ref="F56:F57"/>
    <mergeCell ref="T60:T61"/>
    <mergeCell ref="U60:U61"/>
    <mergeCell ref="A62:A63"/>
    <mergeCell ref="B62:B63"/>
    <mergeCell ref="C62:C63"/>
    <mergeCell ref="D62:D63"/>
    <mergeCell ref="E62:E63"/>
    <mergeCell ref="F62:F63"/>
    <mergeCell ref="T62:T63"/>
    <mergeCell ref="U62:U63"/>
    <mergeCell ref="A60:A61"/>
    <mergeCell ref="B60:B61"/>
    <mergeCell ref="C60:C61"/>
    <mergeCell ref="D60:D61"/>
    <mergeCell ref="E60:E61"/>
    <mergeCell ref="F60:F61"/>
    <mergeCell ref="T64:T65"/>
    <mergeCell ref="U64:U65"/>
    <mergeCell ref="A66:A67"/>
    <mergeCell ref="B66:B67"/>
    <mergeCell ref="C66:C67"/>
    <mergeCell ref="D66:D67"/>
    <mergeCell ref="E66:E67"/>
    <mergeCell ref="F66:F67"/>
    <mergeCell ref="T66:T67"/>
    <mergeCell ref="U66:U67"/>
    <mergeCell ref="A64:A65"/>
    <mergeCell ref="B64:B65"/>
    <mergeCell ref="C64:C65"/>
    <mergeCell ref="D64:D65"/>
    <mergeCell ref="E64:E65"/>
    <mergeCell ref="F64:F65"/>
    <mergeCell ref="T68:T69"/>
    <mergeCell ref="U68:U69"/>
    <mergeCell ref="A70:A71"/>
    <mergeCell ref="B70:B71"/>
    <mergeCell ref="C70:C71"/>
    <mergeCell ref="D70:D71"/>
    <mergeCell ref="E70:E71"/>
    <mergeCell ref="F70:F71"/>
    <mergeCell ref="T70:T71"/>
    <mergeCell ref="U70:U71"/>
    <mergeCell ref="A68:A69"/>
    <mergeCell ref="B68:B69"/>
    <mergeCell ref="C68:C69"/>
    <mergeCell ref="D68:D69"/>
    <mergeCell ref="E68:E69"/>
    <mergeCell ref="F68:F69"/>
    <mergeCell ref="T72:T73"/>
    <mergeCell ref="U72:U73"/>
    <mergeCell ref="A74:A75"/>
    <mergeCell ref="B74:B75"/>
    <mergeCell ref="C74:C75"/>
    <mergeCell ref="D74:D75"/>
    <mergeCell ref="E74:E75"/>
    <mergeCell ref="F74:F75"/>
    <mergeCell ref="T74:T75"/>
    <mergeCell ref="U74:U75"/>
    <mergeCell ref="A72:A73"/>
    <mergeCell ref="B72:B73"/>
    <mergeCell ref="C72:C73"/>
    <mergeCell ref="D72:D73"/>
    <mergeCell ref="E72:E73"/>
    <mergeCell ref="F72:F73"/>
    <mergeCell ref="T76:T77"/>
    <mergeCell ref="U76:U77"/>
    <mergeCell ref="A78:A79"/>
    <mergeCell ref="B78:B79"/>
    <mergeCell ref="C78:C79"/>
    <mergeCell ref="D78:D79"/>
    <mergeCell ref="E78:E79"/>
    <mergeCell ref="F78:F79"/>
    <mergeCell ref="T78:T79"/>
    <mergeCell ref="U78:U79"/>
    <mergeCell ref="A76:A77"/>
    <mergeCell ref="B76:B77"/>
    <mergeCell ref="C76:C77"/>
    <mergeCell ref="D76:D77"/>
    <mergeCell ref="E76:E77"/>
    <mergeCell ref="F76:F77"/>
    <mergeCell ref="T80:T81"/>
    <mergeCell ref="U80:U81"/>
    <mergeCell ref="A82:A83"/>
    <mergeCell ref="B82:B83"/>
    <mergeCell ref="C82:C83"/>
    <mergeCell ref="D82:D83"/>
    <mergeCell ref="E82:E83"/>
    <mergeCell ref="F82:F83"/>
    <mergeCell ref="T82:T83"/>
    <mergeCell ref="U82:U83"/>
    <mergeCell ref="A80:A81"/>
    <mergeCell ref="B80:B81"/>
    <mergeCell ref="C80:C81"/>
    <mergeCell ref="D80:D81"/>
    <mergeCell ref="E80:E81"/>
    <mergeCell ref="F80:F81"/>
    <mergeCell ref="T84:T85"/>
    <mergeCell ref="U84:U85"/>
    <mergeCell ref="A86:A87"/>
    <mergeCell ref="B86:B87"/>
    <mergeCell ref="C86:C87"/>
    <mergeCell ref="D86:D87"/>
    <mergeCell ref="E86:E87"/>
    <mergeCell ref="F86:F87"/>
    <mergeCell ref="T86:T87"/>
    <mergeCell ref="U86:U87"/>
    <mergeCell ref="A84:A85"/>
    <mergeCell ref="B84:B85"/>
    <mergeCell ref="C84:C85"/>
    <mergeCell ref="D84:D85"/>
    <mergeCell ref="E84:E85"/>
    <mergeCell ref="F84:F85"/>
    <mergeCell ref="T88:T89"/>
    <mergeCell ref="U88:U89"/>
    <mergeCell ref="A90:A91"/>
    <mergeCell ref="B90:B91"/>
    <mergeCell ref="C90:C91"/>
    <mergeCell ref="D90:D91"/>
    <mergeCell ref="E90:E91"/>
    <mergeCell ref="F90:F91"/>
    <mergeCell ref="T90:T91"/>
    <mergeCell ref="U90:U91"/>
    <mergeCell ref="A88:A89"/>
    <mergeCell ref="B88:B89"/>
    <mergeCell ref="C88:C89"/>
    <mergeCell ref="D88:D89"/>
    <mergeCell ref="E88:E89"/>
    <mergeCell ref="F88:F89"/>
    <mergeCell ref="T92:T93"/>
    <mergeCell ref="U92:U93"/>
    <mergeCell ref="A94:A95"/>
    <mergeCell ref="B94:B95"/>
    <mergeCell ref="C94:C95"/>
    <mergeCell ref="D94:D95"/>
    <mergeCell ref="E94:E95"/>
    <mergeCell ref="F94:F95"/>
    <mergeCell ref="T94:T95"/>
    <mergeCell ref="U94:U95"/>
    <mergeCell ref="A92:A93"/>
    <mergeCell ref="B92:B93"/>
    <mergeCell ref="C92:C93"/>
    <mergeCell ref="D92:D93"/>
    <mergeCell ref="E92:E93"/>
    <mergeCell ref="F92:F93"/>
    <mergeCell ref="T96:T97"/>
    <mergeCell ref="U96:U97"/>
    <mergeCell ref="A98:A99"/>
    <mergeCell ref="B98:B99"/>
    <mergeCell ref="C98:C99"/>
    <mergeCell ref="D98:D99"/>
    <mergeCell ref="E98:E99"/>
    <mergeCell ref="F98:F99"/>
    <mergeCell ref="T98:T99"/>
    <mergeCell ref="U98:U99"/>
    <mergeCell ref="A96:A97"/>
    <mergeCell ref="B96:B97"/>
    <mergeCell ref="C96:C97"/>
    <mergeCell ref="D96:D97"/>
    <mergeCell ref="E96:E97"/>
    <mergeCell ref="F96:F97"/>
    <mergeCell ref="T100:T101"/>
    <mergeCell ref="U100:U101"/>
    <mergeCell ref="A102:A103"/>
    <mergeCell ref="B102:B103"/>
    <mergeCell ref="C102:C103"/>
    <mergeCell ref="D102:D103"/>
    <mergeCell ref="E102:E103"/>
    <mergeCell ref="F102:F103"/>
    <mergeCell ref="T102:T103"/>
    <mergeCell ref="U102:U103"/>
    <mergeCell ref="A100:A101"/>
    <mergeCell ref="B100:B101"/>
    <mergeCell ref="C100:C101"/>
    <mergeCell ref="D100:D101"/>
    <mergeCell ref="E100:E101"/>
    <mergeCell ref="F100:F101"/>
    <mergeCell ref="T104:T105"/>
    <mergeCell ref="U104:U105"/>
    <mergeCell ref="A106:A107"/>
    <mergeCell ref="B106:B107"/>
    <mergeCell ref="C106:C107"/>
    <mergeCell ref="D106:D107"/>
    <mergeCell ref="E106:E107"/>
    <mergeCell ref="F106:F107"/>
    <mergeCell ref="T106:T107"/>
    <mergeCell ref="U106:U107"/>
    <mergeCell ref="A104:A105"/>
    <mergeCell ref="B104:B105"/>
    <mergeCell ref="C104:C105"/>
    <mergeCell ref="D104:D105"/>
    <mergeCell ref="E104:E105"/>
    <mergeCell ref="F104:F105"/>
    <mergeCell ref="T108:T109"/>
    <mergeCell ref="U108:U109"/>
    <mergeCell ref="A110:A111"/>
    <mergeCell ref="B110:B111"/>
    <mergeCell ref="C110:C111"/>
    <mergeCell ref="D110:D111"/>
    <mergeCell ref="E110:E111"/>
    <mergeCell ref="F110:F111"/>
    <mergeCell ref="T110:T111"/>
    <mergeCell ref="U110:U111"/>
    <mergeCell ref="A108:A109"/>
    <mergeCell ref="B108:B109"/>
    <mergeCell ref="C108:C109"/>
    <mergeCell ref="D108:D109"/>
    <mergeCell ref="E108:E109"/>
    <mergeCell ref="F108:F109"/>
    <mergeCell ref="T112:T113"/>
    <mergeCell ref="U112:U113"/>
    <mergeCell ref="A114:A115"/>
    <mergeCell ref="B114:B115"/>
    <mergeCell ref="C114:C115"/>
    <mergeCell ref="D114:D115"/>
    <mergeCell ref="E114:E115"/>
    <mergeCell ref="F114:F115"/>
    <mergeCell ref="T114:T115"/>
    <mergeCell ref="U114:U115"/>
    <mergeCell ref="A112:A113"/>
    <mergeCell ref="B112:B113"/>
    <mergeCell ref="C112:C113"/>
    <mergeCell ref="D112:D113"/>
    <mergeCell ref="E112:E113"/>
    <mergeCell ref="F112:F113"/>
    <mergeCell ref="T116:T117"/>
    <mergeCell ref="U116:U117"/>
    <mergeCell ref="A118:A119"/>
    <mergeCell ref="B118:B119"/>
    <mergeCell ref="C118:C119"/>
    <mergeCell ref="D118:D119"/>
    <mergeCell ref="E118:E119"/>
    <mergeCell ref="F118:F119"/>
    <mergeCell ref="T118:T119"/>
    <mergeCell ref="U118:U119"/>
    <mergeCell ref="A116:A117"/>
    <mergeCell ref="B116:B117"/>
    <mergeCell ref="C116:C117"/>
    <mergeCell ref="D116:D117"/>
    <mergeCell ref="E116:E117"/>
    <mergeCell ref="F116:F117"/>
    <mergeCell ref="T120:T121"/>
    <mergeCell ref="U120:U121"/>
    <mergeCell ref="A122:A123"/>
    <mergeCell ref="B122:B123"/>
    <mergeCell ref="C122:C123"/>
    <mergeCell ref="D122:D123"/>
    <mergeCell ref="E122:E123"/>
    <mergeCell ref="F122:F123"/>
    <mergeCell ref="T122:T123"/>
    <mergeCell ref="U122:U123"/>
    <mergeCell ref="A120:A121"/>
    <mergeCell ref="B120:B121"/>
    <mergeCell ref="C120:C121"/>
    <mergeCell ref="D120:D121"/>
    <mergeCell ref="E120:E121"/>
    <mergeCell ref="F120:F121"/>
    <mergeCell ref="T124:T125"/>
    <mergeCell ref="U124:U125"/>
    <mergeCell ref="A126:A127"/>
    <mergeCell ref="B126:B127"/>
    <mergeCell ref="C126:C127"/>
    <mergeCell ref="D126:D127"/>
    <mergeCell ref="E126:E127"/>
    <mergeCell ref="F126:F127"/>
    <mergeCell ref="T126:T127"/>
    <mergeCell ref="U126:U127"/>
    <mergeCell ref="A124:A125"/>
    <mergeCell ref="B124:B125"/>
    <mergeCell ref="C124:C125"/>
    <mergeCell ref="D124:D125"/>
    <mergeCell ref="E124:E125"/>
    <mergeCell ref="F124:F125"/>
    <mergeCell ref="T128:T129"/>
    <mergeCell ref="U128:U129"/>
    <mergeCell ref="A130:A131"/>
    <mergeCell ref="B130:B131"/>
    <mergeCell ref="C130:C131"/>
    <mergeCell ref="D130:D131"/>
    <mergeCell ref="E130:E131"/>
    <mergeCell ref="F130:F131"/>
    <mergeCell ref="T130:T131"/>
    <mergeCell ref="U130:U131"/>
    <mergeCell ref="A128:A129"/>
    <mergeCell ref="B128:B129"/>
    <mergeCell ref="C128:C129"/>
    <mergeCell ref="D128:D129"/>
    <mergeCell ref="E128:E129"/>
    <mergeCell ref="F128:F129"/>
    <mergeCell ref="T132:T133"/>
    <mergeCell ref="U132:U133"/>
    <mergeCell ref="A134:A135"/>
    <mergeCell ref="B134:B135"/>
    <mergeCell ref="C134:C135"/>
    <mergeCell ref="D134:D135"/>
    <mergeCell ref="E134:E135"/>
    <mergeCell ref="F134:F135"/>
    <mergeCell ref="T134:T135"/>
    <mergeCell ref="U134:U135"/>
    <mergeCell ref="A132:A133"/>
    <mergeCell ref="B132:B133"/>
    <mergeCell ref="C132:C133"/>
    <mergeCell ref="D132:D133"/>
    <mergeCell ref="E132:E133"/>
    <mergeCell ref="F132:F133"/>
    <mergeCell ref="T136:T137"/>
    <mergeCell ref="U136:U137"/>
    <mergeCell ref="A138:A139"/>
    <mergeCell ref="B138:B139"/>
    <mergeCell ref="C138:C139"/>
    <mergeCell ref="D138:D139"/>
    <mergeCell ref="E138:E139"/>
    <mergeCell ref="F138:F139"/>
    <mergeCell ref="T138:T139"/>
    <mergeCell ref="U138:U139"/>
    <mergeCell ref="A136:A137"/>
    <mergeCell ref="B136:B137"/>
    <mergeCell ref="C136:C137"/>
    <mergeCell ref="D136:D137"/>
    <mergeCell ref="E136:E137"/>
    <mergeCell ref="F136:F137"/>
    <mergeCell ref="T140:T141"/>
    <mergeCell ref="U140:U141"/>
    <mergeCell ref="A142:A143"/>
    <mergeCell ref="B142:B143"/>
    <mergeCell ref="C142:C143"/>
    <mergeCell ref="D142:D143"/>
    <mergeCell ref="E142:E143"/>
    <mergeCell ref="F142:F143"/>
    <mergeCell ref="T142:T143"/>
    <mergeCell ref="U142:U143"/>
    <mergeCell ref="A140:A141"/>
    <mergeCell ref="B140:B141"/>
    <mergeCell ref="C140:C141"/>
    <mergeCell ref="D140:D141"/>
    <mergeCell ref="E140:E141"/>
    <mergeCell ref="F140:F141"/>
    <mergeCell ref="T144:T145"/>
    <mergeCell ref="U144:U145"/>
    <mergeCell ref="A146:A147"/>
    <mergeCell ref="B146:B147"/>
    <mergeCell ref="C146:C147"/>
    <mergeCell ref="D146:D147"/>
    <mergeCell ref="E146:E147"/>
    <mergeCell ref="F146:F147"/>
    <mergeCell ref="T146:T147"/>
    <mergeCell ref="U146:U147"/>
    <mergeCell ref="A144:A145"/>
    <mergeCell ref="B144:B145"/>
    <mergeCell ref="C144:C145"/>
    <mergeCell ref="D144:D145"/>
    <mergeCell ref="E144:E145"/>
    <mergeCell ref="F144:F145"/>
    <mergeCell ref="T148:T149"/>
    <mergeCell ref="U148:U149"/>
    <mergeCell ref="A150:A151"/>
    <mergeCell ref="B150:B151"/>
    <mergeCell ref="C150:C151"/>
    <mergeCell ref="D150:D151"/>
    <mergeCell ref="E150:E151"/>
    <mergeCell ref="F150:F151"/>
    <mergeCell ref="T150:T151"/>
    <mergeCell ref="U150:U151"/>
    <mergeCell ref="A148:A149"/>
    <mergeCell ref="B148:B149"/>
    <mergeCell ref="C148:C149"/>
    <mergeCell ref="D148:D149"/>
    <mergeCell ref="E148:E149"/>
    <mergeCell ref="F148:F149"/>
    <mergeCell ref="T152:T153"/>
    <mergeCell ref="U152:U153"/>
    <mergeCell ref="A154:A155"/>
    <mergeCell ref="B154:B155"/>
    <mergeCell ref="C154:C155"/>
    <mergeCell ref="D154:D155"/>
    <mergeCell ref="E154:E155"/>
    <mergeCell ref="F154:F155"/>
    <mergeCell ref="T154:T155"/>
    <mergeCell ref="U154:U155"/>
    <mergeCell ref="A152:A153"/>
    <mergeCell ref="B152:B153"/>
    <mergeCell ref="C152:C153"/>
    <mergeCell ref="D152:D153"/>
    <mergeCell ref="E152:E153"/>
    <mergeCell ref="F152:F153"/>
  </mergeCells>
  <phoneticPr fontId="24" type="noConversion"/>
  <pageMargins left="0.74805555555555558" right="0.74805555555555558" top="1.3776388888888889" bottom="1.3776388888888889" header="0.98388888888888892" footer="0.98388888888888892"/>
  <pageSetup paperSize="9" fitToWidth="0" fitToHeight="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T162"/>
  <sheetViews>
    <sheetView workbookViewId="0"/>
  </sheetViews>
  <sheetFormatPr defaultRowHeight="15.75" customHeight="1" x14ac:dyDescent="0.2"/>
  <cols>
    <col min="1" max="1" width="7.44140625" customWidth="1"/>
    <col min="2" max="2" width="20.33203125" customWidth="1"/>
    <col min="3" max="4" width="4.44140625" customWidth="1"/>
    <col min="5" max="5" width="12" customWidth="1"/>
    <col min="6" max="6" width="6" customWidth="1"/>
    <col min="7" max="18" width="3.88671875" customWidth="1"/>
    <col min="19" max="19" width="9.33203125" customWidth="1"/>
    <col min="20" max="20" width="31.6640625" customWidth="1"/>
    <col min="21" max="1024" width="11.88671875" customWidth="1"/>
  </cols>
  <sheetData>
    <row r="1" spans="1:20" ht="17.25" customHeight="1" x14ac:dyDescent="0.25">
      <c r="A1" s="44"/>
      <c r="B1" s="44" t="s">
        <v>3</v>
      </c>
      <c r="C1" s="45" t="s">
        <v>1</v>
      </c>
      <c r="D1" s="46" t="s">
        <v>2</v>
      </c>
      <c r="E1" s="47" t="s">
        <v>178</v>
      </c>
      <c r="F1" s="88" t="s">
        <v>180</v>
      </c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45" t="s">
        <v>181</v>
      </c>
      <c r="T1" s="45"/>
    </row>
    <row r="2" spans="1:20" ht="17.25" customHeight="1" x14ac:dyDescent="0.2">
      <c r="A2" s="77"/>
      <c r="B2" s="83" t="s">
        <v>219</v>
      </c>
      <c r="C2" s="84">
        <v>128</v>
      </c>
      <c r="D2" s="85">
        <f>C2/0.8</f>
        <v>160</v>
      </c>
      <c r="E2" s="86" t="s">
        <v>220</v>
      </c>
      <c r="F2" s="48" t="s">
        <v>184</v>
      </c>
      <c r="G2" s="49" t="s">
        <v>185</v>
      </c>
      <c r="H2" s="49" t="s">
        <v>186</v>
      </c>
      <c r="I2" s="49" t="s">
        <v>187</v>
      </c>
      <c r="J2" s="49" t="s">
        <v>188</v>
      </c>
      <c r="K2" s="49" t="s">
        <v>189</v>
      </c>
      <c r="L2" s="49" t="s">
        <v>190</v>
      </c>
      <c r="M2" s="50" t="s">
        <v>191</v>
      </c>
      <c r="N2" s="50" t="s">
        <v>192</v>
      </c>
      <c r="O2" s="49" t="s">
        <v>193</v>
      </c>
      <c r="P2" s="49" t="s">
        <v>194</v>
      </c>
      <c r="Q2" s="49" t="s">
        <v>195</v>
      </c>
      <c r="R2" s="49" t="s">
        <v>196</v>
      </c>
      <c r="S2" s="84" t="s">
        <v>221</v>
      </c>
      <c r="T2" s="77"/>
    </row>
    <row r="3" spans="1:20" ht="17.25" customHeight="1" x14ac:dyDescent="0.2">
      <c r="A3" s="77"/>
      <c r="B3" s="83"/>
      <c r="C3" s="84"/>
      <c r="D3" s="85"/>
      <c r="E3" s="86"/>
      <c r="F3" s="51" t="s">
        <v>198</v>
      </c>
      <c r="G3" s="50" t="s">
        <v>185</v>
      </c>
      <c r="H3" s="50" t="s">
        <v>186</v>
      </c>
      <c r="I3" s="52" t="s">
        <v>187</v>
      </c>
      <c r="J3" s="52" t="s">
        <v>188</v>
      </c>
      <c r="K3" s="52" t="s">
        <v>189</v>
      </c>
      <c r="L3" s="52" t="s">
        <v>190</v>
      </c>
      <c r="M3" s="52" t="s">
        <v>191</v>
      </c>
      <c r="N3" s="52" t="s">
        <v>192</v>
      </c>
      <c r="O3" s="52" t="s">
        <v>193</v>
      </c>
      <c r="P3" s="52" t="s">
        <v>194</v>
      </c>
      <c r="Q3" s="52" t="s">
        <v>195</v>
      </c>
      <c r="R3" s="52" t="s">
        <v>196</v>
      </c>
      <c r="S3" s="84"/>
      <c r="T3" s="77"/>
    </row>
    <row r="4" spans="1:20" ht="17.25" customHeight="1" x14ac:dyDescent="0.2">
      <c r="A4" s="78"/>
      <c r="B4" s="79" t="s">
        <v>222</v>
      </c>
      <c r="C4" s="80">
        <v>128</v>
      </c>
      <c r="D4" s="81">
        <f>C4/0.8</f>
        <v>160</v>
      </c>
      <c r="E4" s="82" t="s">
        <v>220</v>
      </c>
      <c r="F4" s="53" t="s">
        <v>184</v>
      </c>
      <c r="G4" s="54" t="s">
        <v>185</v>
      </c>
      <c r="H4" s="54" t="s">
        <v>186</v>
      </c>
      <c r="I4" s="55" t="s">
        <v>187</v>
      </c>
      <c r="J4" s="55" t="s">
        <v>188</v>
      </c>
      <c r="K4" s="55" t="s">
        <v>189</v>
      </c>
      <c r="L4" s="55" t="s">
        <v>190</v>
      </c>
      <c r="M4" s="54" t="s">
        <v>191</v>
      </c>
      <c r="N4" s="54" t="s">
        <v>192</v>
      </c>
      <c r="O4" s="55" t="s">
        <v>193</v>
      </c>
      <c r="P4" s="55" t="s">
        <v>194</v>
      </c>
      <c r="Q4" s="54" t="s">
        <v>195</v>
      </c>
      <c r="R4" s="54" t="s">
        <v>196</v>
      </c>
      <c r="S4" s="80" t="s">
        <v>221</v>
      </c>
      <c r="T4" s="78"/>
    </row>
    <row r="5" spans="1:20" ht="17.25" customHeight="1" x14ac:dyDescent="0.2">
      <c r="A5" s="78"/>
      <c r="B5" s="79"/>
      <c r="C5" s="80"/>
      <c r="D5" s="81"/>
      <c r="E5" s="82"/>
      <c r="F5" s="56" t="s">
        <v>198</v>
      </c>
      <c r="G5" s="54" t="s">
        <v>185</v>
      </c>
      <c r="H5" s="54" t="s">
        <v>186</v>
      </c>
      <c r="I5" s="57" t="s">
        <v>187</v>
      </c>
      <c r="J5" s="57" t="s">
        <v>188</v>
      </c>
      <c r="K5" s="54" t="s">
        <v>189</v>
      </c>
      <c r="L5" s="54" t="s">
        <v>190</v>
      </c>
      <c r="M5" s="54" t="s">
        <v>191</v>
      </c>
      <c r="N5" s="54" t="s">
        <v>192</v>
      </c>
      <c r="O5" s="57" t="s">
        <v>193</v>
      </c>
      <c r="P5" s="57" t="s">
        <v>194</v>
      </c>
      <c r="Q5" s="57" t="s">
        <v>195</v>
      </c>
      <c r="R5" s="57" t="s">
        <v>196</v>
      </c>
      <c r="S5" s="80"/>
      <c r="T5" s="78"/>
    </row>
    <row r="6" spans="1:20" ht="17.25" customHeight="1" x14ac:dyDescent="0.2">
      <c r="A6" s="77"/>
      <c r="B6" s="83" t="s">
        <v>223</v>
      </c>
      <c r="C6" s="84">
        <v>192</v>
      </c>
      <c r="D6" s="85">
        <f>C6/0.8</f>
        <v>240</v>
      </c>
      <c r="E6" s="86" t="s">
        <v>220</v>
      </c>
      <c r="F6" s="48" t="s">
        <v>184</v>
      </c>
      <c r="G6" s="50" t="s">
        <v>185</v>
      </c>
      <c r="H6" s="50" t="s">
        <v>186</v>
      </c>
      <c r="I6" s="49" t="s">
        <v>187</v>
      </c>
      <c r="J6" s="49" t="s">
        <v>188</v>
      </c>
      <c r="K6" s="49" t="s">
        <v>189</v>
      </c>
      <c r="L6" s="49" t="s">
        <v>190</v>
      </c>
      <c r="M6" s="49" t="s">
        <v>191</v>
      </c>
      <c r="N6" s="49" t="s">
        <v>192</v>
      </c>
      <c r="O6" s="49" t="s">
        <v>193</v>
      </c>
      <c r="P6" s="50" t="s">
        <v>194</v>
      </c>
      <c r="Q6" s="50" t="s">
        <v>195</v>
      </c>
      <c r="R6" s="50" t="s">
        <v>196</v>
      </c>
      <c r="S6" s="84" t="s">
        <v>221</v>
      </c>
      <c r="T6" s="77"/>
    </row>
    <row r="7" spans="1:20" ht="17.25" customHeight="1" x14ac:dyDescent="0.2">
      <c r="A7" s="77"/>
      <c r="B7" s="83"/>
      <c r="C7" s="84"/>
      <c r="D7" s="85"/>
      <c r="E7" s="86"/>
      <c r="F7" s="51" t="s">
        <v>198</v>
      </c>
      <c r="G7" s="52" t="s">
        <v>185</v>
      </c>
      <c r="H7" s="52" t="s">
        <v>186</v>
      </c>
      <c r="I7" s="52" t="s">
        <v>187</v>
      </c>
      <c r="J7" s="50" t="s">
        <v>188</v>
      </c>
      <c r="K7" s="50" t="s">
        <v>189</v>
      </c>
      <c r="L7" s="50" t="s">
        <v>190</v>
      </c>
      <c r="M7" s="50" t="s">
        <v>191</v>
      </c>
      <c r="N7" s="50" t="s">
        <v>192</v>
      </c>
      <c r="O7" s="52" t="s">
        <v>193</v>
      </c>
      <c r="P7" s="52" t="s">
        <v>194</v>
      </c>
      <c r="Q7" s="52" t="s">
        <v>195</v>
      </c>
      <c r="R7" s="52" t="s">
        <v>196</v>
      </c>
      <c r="S7" s="84"/>
      <c r="T7" s="77"/>
    </row>
    <row r="8" spans="1:20" ht="17.25" customHeight="1" x14ac:dyDescent="0.2">
      <c r="A8" s="78"/>
      <c r="B8" s="79" t="s">
        <v>224</v>
      </c>
      <c r="C8" s="80">
        <v>2000</v>
      </c>
      <c r="D8" s="81">
        <f>C8/0.8</f>
        <v>2500</v>
      </c>
      <c r="E8" s="82" t="s">
        <v>220</v>
      </c>
      <c r="F8" s="53" t="s">
        <v>184</v>
      </c>
      <c r="G8" s="54" t="s">
        <v>185</v>
      </c>
      <c r="H8" s="54" t="s">
        <v>186</v>
      </c>
      <c r="I8" s="55" t="s">
        <v>187</v>
      </c>
      <c r="J8" s="55" t="s">
        <v>188</v>
      </c>
      <c r="K8" s="55" t="s">
        <v>189</v>
      </c>
      <c r="L8" s="55" t="s">
        <v>190</v>
      </c>
      <c r="M8" s="54" t="s">
        <v>191</v>
      </c>
      <c r="N8" s="54" t="s">
        <v>192</v>
      </c>
      <c r="O8" s="54" t="s">
        <v>193</v>
      </c>
      <c r="P8" s="54" t="s">
        <v>194</v>
      </c>
      <c r="Q8" s="54" t="s">
        <v>195</v>
      </c>
      <c r="R8" s="54" t="s">
        <v>196</v>
      </c>
      <c r="S8" s="80" t="s">
        <v>221</v>
      </c>
      <c r="T8" s="78"/>
    </row>
    <row r="9" spans="1:20" ht="17.25" customHeight="1" x14ac:dyDescent="0.2">
      <c r="A9" s="78"/>
      <c r="B9" s="79"/>
      <c r="C9" s="80"/>
      <c r="D9" s="81"/>
      <c r="E9" s="82"/>
      <c r="F9" s="56" t="s">
        <v>198</v>
      </c>
      <c r="G9" s="54" t="s">
        <v>185</v>
      </c>
      <c r="H9" s="54" t="s">
        <v>186</v>
      </c>
      <c r="I9" s="54" t="s">
        <v>187</v>
      </c>
      <c r="J9" s="54" t="s">
        <v>188</v>
      </c>
      <c r="K9" s="54" t="s">
        <v>189</v>
      </c>
      <c r="L9" s="54" t="s">
        <v>190</v>
      </c>
      <c r="M9" s="54" t="s">
        <v>191</v>
      </c>
      <c r="N9" s="54" t="s">
        <v>192</v>
      </c>
      <c r="O9" s="57" t="s">
        <v>193</v>
      </c>
      <c r="P9" s="57" t="s">
        <v>194</v>
      </c>
      <c r="Q9" s="57" t="s">
        <v>195</v>
      </c>
      <c r="R9" s="57" t="s">
        <v>196</v>
      </c>
      <c r="S9" s="80"/>
      <c r="T9" s="78"/>
    </row>
    <row r="10" spans="1:20" ht="17.25" customHeight="1" x14ac:dyDescent="0.2">
      <c r="A10" s="77"/>
      <c r="B10" s="83" t="s">
        <v>225</v>
      </c>
      <c r="C10" s="84">
        <v>240</v>
      </c>
      <c r="D10" s="85">
        <f>C10/0.8</f>
        <v>300</v>
      </c>
      <c r="E10" s="86" t="s">
        <v>220</v>
      </c>
      <c r="F10" s="48" t="s">
        <v>184</v>
      </c>
      <c r="G10" s="50" t="s">
        <v>185</v>
      </c>
      <c r="H10" s="50" t="s">
        <v>186</v>
      </c>
      <c r="I10" s="50" t="s">
        <v>187</v>
      </c>
      <c r="J10" s="49" t="s">
        <v>188</v>
      </c>
      <c r="K10" s="49" t="s">
        <v>189</v>
      </c>
      <c r="L10" s="49" t="s">
        <v>190</v>
      </c>
      <c r="M10" s="49" t="s">
        <v>191</v>
      </c>
      <c r="N10" s="49" t="s">
        <v>192</v>
      </c>
      <c r="O10" s="50" t="s">
        <v>193</v>
      </c>
      <c r="P10" s="50" t="s">
        <v>194</v>
      </c>
      <c r="Q10" s="50" t="s">
        <v>195</v>
      </c>
      <c r="R10" s="50" t="s">
        <v>196</v>
      </c>
      <c r="S10" s="84" t="s">
        <v>226</v>
      </c>
      <c r="T10" s="77"/>
    </row>
    <row r="11" spans="1:20" ht="17.25" customHeight="1" x14ac:dyDescent="0.2">
      <c r="A11" s="77"/>
      <c r="B11" s="83"/>
      <c r="C11" s="84"/>
      <c r="D11" s="85"/>
      <c r="E11" s="86"/>
      <c r="F11" s="51" t="s">
        <v>198</v>
      </c>
      <c r="G11" s="52" t="s">
        <v>185</v>
      </c>
      <c r="H11" s="52" t="s">
        <v>186</v>
      </c>
      <c r="I11" s="50" t="s">
        <v>187</v>
      </c>
      <c r="J11" s="50" t="s">
        <v>188</v>
      </c>
      <c r="K11" s="50" t="s">
        <v>189</v>
      </c>
      <c r="L11" s="50" t="s">
        <v>190</v>
      </c>
      <c r="M11" s="50" t="s">
        <v>191</v>
      </c>
      <c r="N11" s="50" t="s">
        <v>192</v>
      </c>
      <c r="O11" s="50" t="s">
        <v>193</v>
      </c>
      <c r="P11" s="52" t="s">
        <v>194</v>
      </c>
      <c r="Q11" s="52" t="s">
        <v>195</v>
      </c>
      <c r="R11" s="52" t="s">
        <v>196</v>
      </c>
      <c r="S11" s="84"/>
      <c r="T11" s="77"/>
    </row>
    <row r="12" spans="1:20" ht="17.25" customHeight="1" x14ac:dyDescent="0.2">
      <c r="A12" s="78"/>
      <c r="B12" s="79" t="s">
        <v>227</v>
      </c>
      <c r="C12" s="80">
        <v>800</v>
      </c>
      <c r="D12" s="81">
        <f>C12/0.8</f>
        <v>1000</v>
      </c>
      <c r="E12" s="82" t="s">
        <v>220</v>
      </c>
      <c r="F12" s="53" t="s">
        <v>184</v>
      </c>
      <c r="G12" s="55" t="s">
        <v>185</v>
      </c>
      <c r="H12" s="55" t="s">
        <v>186</v>
      </c>
      <c r="I12" s="55" t="s">
        <v>187</v>
      </c>
      <c r="J12" s="55" t="s">
        <v>188</v>
      </c>
      <c r="K12" s="55" t="s">
        <v>189</v>
      </c>
      <c r="L12" s="55" t="s">
        <v>190</v>
      </c>
      <c r="M12" s="55" t="s">
        <v>191</v>
      </c>
      <c r="N12" s="55" t="s">
        <v>192</v>
      </c>
      <c r="O12" s="55" t="s">
        <v>193</v>
      </c>
      <c r="P12" s="55" t="s">
        <v>194</v>
      </c>
      <c r="Q12" s="55" t="s">
        <v>195</v>
      </c>
      <c r="R12" s="55" t="s">
        <v>196</v>
      </c>
      <c r="S12" s="80" t="s">
        <v>228</v>
      </c>
      <c r="T12" s="78"/>
    </row>
    <row r="13" spans="1:20" ht="17.25" customHeight="1" x14ac:dyDescent="0.2">
      <c r="A13" s="78"/>
      <c r="B13" s="79"/>
      <c r="C13" s="80"/>
      <c r="D13" s="81"/>
      <c r="E13" s="82"/>
      <c r="F13" s="56" t="s">
        <v>198</v>
      </c>
      <c r="G13" s="57" t="s">
        <v>185</v>
      </c>
      <c r="H13" s="57" t="s">
        <v>186</v>
      </c>
      <c r="I13" s="57" t="s">
        <v>187</v>
      </c>
      <c r="J13" s="57" t="s">
        <v>188</v>
      </c>
      <c r="K13" s="57" t="s">
        <v>189</v>
      </c>
      <c r="L13" s="57" t="s">
        <v>190</v>
      </c>
      <c r="M13" s="57" t="s">
        <v>191</v>
      </c>
      <c r="N13" s="57" t="s">
        <v>192</v>
      </c>
      <c r="O13" s="57" t="s">
        <v>193</v>
      </c>
      <c r="P13" s="57" t="s">
        <v>194</v>
      </c>
      <c r="Q13" s="57" t="s">
        <v>195</v>
      </c>
      <c r="R13" s="57" t="s">
        <v>196</v>
      </c>
      <c r="S13" s="80"/>
      <c r="T13" s="78"/>
    </row>
    <row r="14" spans="1:20" ht="17.25" customHeight="1" x14ac:dyDescent="0.2">
      <c r="A14" s="77"/>
      <c r="B14" s="83" t="s">
        <v>229</v>
      </c>
      <c r="C14" s="84">
        <v>2400</v>
      </c>
      <c r="D14" s="85">
        <f>C14/0.8</f>
        <v>3000</v>
      </c>
      <c r="E14" s="86" t="s">
        <v>220</v>
      </c>
      <c r="F14" s="48" t="s">
        <v>184</v>
      </c>
      <c r="G14" s="50" t="s">
        <v>185</v>
      </c>
      <c r="H14" s="50" t="s">
        <v>186</v>
      </c>
      <c r="I14" s="50" t="s">
        <v>187</v>
      </c>
      <c r="J14" s="50" t="s">
        <v>188</v>
      </c>
      <c r="K14" s="49" t="s">
        <v>189</v>
      </c>
      <c r="L14" s="49" t="s">
        <v>190</v>
      </c>
      <c r="M14" s="49" t="s">
        <v>191</v>
      </c>
      <c r="N14" s="49" t="s">
        <v>192</v>
      </c>
      <c r="O14" s="50" t="s">
        <v>193</v>
      </c>
      <c r="P14" s="50" t="s">
        <v>194</v>
      </c>
      <c r="Q14" s="50" t="s">
        <v>195</v>
      </c>
      <c r="R14" s="50" t="s">
        <v>196</v>
      </c>
      <c r="S14" s="84" t="s">
        <v>221</v>
      </c>
      <c r="T14" s="77"/>
    </row>
    <row r="15" spans="1:20" ht="17.25" customHeight="1" x14ac:dyDescent="0.2">
      <c r="A15" s="77"/>
      <c r="B15" s="83"/>
      <c r="C15" s="84"/>
      <c r="D15" s="85"/>
      <c r="E15" s="86"/>
      <c r="F15" s="51" t="s">
        <v>198</v>
      </c>
      <c r="G15" s="52" t="s">
        <v>185</v>
      </c>
      <c r="H15" s="52" t="s">
        <v>186</v>
      </c>
      <c r="I15" s="50" t="s">
        <v>187</v>
      </c>
      <c r="J15" s="50" t="s">
        <v>188</v>
      </c>
      <c r="K15" s="50" t="s">
        <v>189</v>
      </c>
      <c r="L15" s="50" t="s">
        <v>190</v>
      </c>
      <c r="M15" s="50" t="s">
        <v>191</v>
      </c>
      <c r="N15" s="50" t="s">
        <v>192</v>
      </c>
      <c r="O15" s="50" t="s">
        <v>193</v>
      </c>
      <c r="P15" s="50" t="s">
        <v>194</v>
      </c>
      <c r="Q15" s="52" t="s">
        <v>195</v>
      </c>
      <c r="R15" s="52" t="s">
        <v>196</v>
      </c>
      <c r="S15" s="84"/>
      <c r="T15" s="77"/>
    </row>
    <row r="16" spans="1:20" ht="17.25" customHeight="1" x14ac:dyDescent="0.2">
      <c r="A16" s="78"/>
      <c r="B16" s="79" t="s">
        <v>230</v>
      </c>
      <c r="C16" s="80">
        <v>112</v>
      </c>
      <c r="D16" s="81">
        <f>C16/0.8</f>
        <v>140</v>
      </c>
      <c r="E16" s="82" t="s">
        <v>220</v>
      </c>
      <c r="F16" s="53" t="s">
        <v>184</v>
      </c>
      <c r="G16" s="54" t="s">
        <v>185</v>
      </c>
      <c r="H16" s="54" t="s">
        <v>186</v>
      </c>
      <c r="I16" s="54" t="s">
        <v>187</v>
      </c>
      <c r="J16" s="54" t="s">
        <v>188</v>
      </c>
      <c r="K16" s="54" t="s">
        <v>189</v>
      </c>
      <c r="L16" s="54" t="s">
        <v>190</v>
      </c>
      <c r="M16" s="54" t="s">
        <v>191</v>
      </c>
      <c r="N16" s="54" t="s">
        <v>192</v>
      </c>
      <c r="O16" s="55" t="s">
        <v>193</v>
      </c>
      <c r="P16" s="55" t="s">
        <v>194</v>
      </c>
      <c r="Q16" s="55" t="s">
        <v>195</v>
      </c>
      <c r="R16" s="54" t="s">
        <v>196</v>
      </c>
      <c r="S16" s="80" t="s">
        <v>231</v>
      </c>
      <c r="T16" s="78"/>
    </row>
    <row r="17" spans="1:20" ht="17.25" customHeight="1" x14ac:dyDescent="0.2">
      <c r="A17" s="78"/>
      <c r="B17" s="79"/>
      <c r="C17" s="80"/>
      <c r="D17" s="81"/>
      <c r="E17" s="82"/>
      <c r="F17" s="56" t="s">
        <v>198</v>
      </c>
      <c r="G17" s="54" t="s">
        <v>185</v>
      </c>
      <c r="H17" s="54" t="s">
        <v>186</v>
      </c>
      <c r="I17" s="57" t="s">
        <v>187</v>
      </c>
      <c r="J17" s="57" t="s">
        <v>188</v>
      </c>
      <c r="K17" s="57" t="s">
        <v>189</v>
      </c>
      <c r="L17" s="54" t="s">
        <v>190</v>
      </c>
      <c r="M17" s="54" t="s">
        <v>191</v>
      </c>
      <c r="N17" s="54" t="s">
        <v>192</v>
      </c>
      <c r="O17" s="54" t="s">
        <v>193</v>
      </c>
      <c r="P17" s="54" t="s">
        <v>194</v>
      </c>
      <c r="Q17" s="54" t="s">
        <v>195</v>
      </c>
      <c r="R17" s="54" t="s">
        <v>196</v>
      </c>
      <c r="S17" s="80"/>
      <c r="T17" s="78"/>
    </row>
    <row r="18" spans="1:20" ht="17.25" customHeight="1" x14ac:dyDescent="0.2">
      <c r="A18" s="77"/>
      <c r="B18" s="83" t="s">
        <v>232</v>
      </c>
      <c r="C18" s="84">
        <v>3200</v>
      </c>
      <c r="D18" s="85">
        <f>C18/0.8</f>
        <v>4000</v>
      </c>
      <c r="E18" s="86" t="s">
        <v>220</v>
      </c>
      <c r="F18" s="48" t="s">
        <v>184</v>
      </c>
      <c r="G18" s="49" t="s">
        <v>185</v>
      </c>
      <c r="H18" s="49" t="s">
        <v>186</v>
      </c>
      <c r="I18" s="49" t="s">
        <v>187</v>
      </c>
      <c r="J18" s="50" t="s">
        <v>188</v>
      </c>
      <c r="K18" s="50" t="s">
        <v>189</v>
      </c>
      <c r="L18" s="49" t="s">
        <v>190</v>
      </c>
      <c r="M18" s="49" t="s">
        <v>191</v>
      </c>
      <c r="N18" s="49" t="s">
        <v>192</v>
      </c>
      <c r="O18" s="49" t="s">
        <v>193</v>
      </c>
      <c r="P18" s="50" t="s">
        <v>194</v>
      </c>
      <c r="Q18" s="50" t="s">
        <v>195</v>
      </c>
      <c r="R18" s="49" t="s">
        <v>196</v>
      </c>
      <c r="S18" s="84" t="s">
        <v>233</v>
      </c>
      <c r="T18" s="77"/>
    </row>
    <row r="19" spans="1:20" ht="17.25" customHeight="1" x14ac:dyDescent="0.2">
      <c r="A19" s="77"/>
      <c r="B19" s="83"/>
      <c r="C19" s="84"/>
      <c r="D19" s="85"/>
      <c r="E19" s="86"/>
      <c r="F19" s="51" t="s">
        <v>198</v>
      </c>
      <c r="G19" s="52" t="s">
        <v>185</v>
      </c>
      <c r="H19" s="52" t="s">
        <v>186</v>
      </c>
      <c r="I19" s="52" t="s">
        <v>187</v>
      </c>
      <c r="J19" s="50" t="s">
        <v>188</v>
      </c>
      <c r="K19" s="50" t="s">
        <v>189</v>
      </c>
      <c r="L19" s="52" t="s">
        <v>190</v>
      </c>
      <c r="M19" s="52" t="s">
        <v>191</v>
      </c>
      <c r="N19" s="52" t="s">
        <v>192</v>
      </c>
      <c r="O19" s="52" t="s">
        <v>193</v>
      </c>
      <c r="P19" s="50" t="s">
        <v>194</v>
      </c>
      <c r="Q19" s="50" t="s">
        <v>195</v>
      </c>
      <c r="R19" s="52" t="s">
        <v>196</v>
      </c>
      <c r="S19" s="84"/>
      <c r="T19" s="77"/>
    </row>
    <row r="20" spans="1:20" ht="17.25" customHeight="1" x14ac:dyDescent="0.2">
      <c r="A20" s="78"/>
      <c r="B20" s="79" t="s">
        <v>234</v>
      </c>
      <c r="C20" s="80">
        <v>2400</v>
      </c>
      <c r="D20" s="81">
        <f>C20/0.8</f>
        <v>3000</v>
      </c>
      <c r="E20" s="82" t="s">
        <v>220</v>
      </c>
      <c r="F20" s="53" t="s">
        <v>184</v>
      </c>
      <c r="G20" s="54" t="s">
        <v>185</v>
      </c>
      <c r="H20" s="54" t="s">
        <v>186</v>
      </c>
      <c r="I20" s="54" t="s">
        <v>187</v>
      </c>
      <c r="J20" s="55" t="s">
        <v>188</v>
      </c>
      <c r="K20" s="55" t="s">
        <v>189</v>
      </c>
      <c r="L20" s="55" t="s">
        <v>190</v>
      </c>
      <c r="M20" s="55" t="s">
        <v>191</v>
      </c>
      <c r="N20" s="55" t="s">
        <v>192</v>
      </c>
      <c r="O20" s="55" t="s">
        <v>193</v>
      </c>
      <c r="P20" s="54" t="s">
        <v>194</v>
      </c>
      <c r="Q20" s="54" t="s">
        <v>195</v>
      </c>
      <c r="R20" s="54" t="s">
        <v>196</v>
      </c>
      <c r="S20" s="80" t="s">
        <v>235</v>
      </c>
      <c r="T20" s="78"/>
    </row>
    <row r="21" spans="1:20" ht="17.25" customHeight="1" x14ac:dyDescent="0.2">
      <c r="A21" s="78"/>
      <c r="B21" s="79"/>
      <c r="C21" s="80"/>
      <c r="D21" s="81"/>
      <c r="E21" s="82"/>
      <c r="F21" s="56" t="s">
        <v>198</v>
      </c>
      <c r="G21" s="57" t="s">
        <v>185</v>
      </c>
      <c r="H21" s="57" t="s">
        <v>186</v>
      </c>
      <c r="I21" s="57" t="s">
        <v>187</v>
      </c>
      <c r="J21" s="54" t="s">
        <v>188</v>
      </c>
      <c r="K21" s="54" t="s">
        <v>189</v>
      </c>
      <c r="L21" s="54" t="s">
        <v>190</v>
      </c>
      <c r="M21" s="54" t="s">
        <v>191</v>
      </c>
      <c r="N21" s="54" t="s">
        <v>192</v>
      </c>
      <c r="O21" s="54" t="s">
        <v>193</v>
      </c>
      <c r="P21" s="57" t="s">
        <v>194</v>
      </c>
      <c r="Q21" s="57" t="s">
        <v>195</v>
      </c>
      <c r="R21" s="57" t="s">
        <v>196</v>
      </c>
      <c r="S21" s="80"/>
      <c r="T21" s="78"/>
    </row>
    <row r="22" spans="1:20" ht="17.25" customHeight="1" x14ac:dyDescent="0.2">
      <c r="A22" s="77"/>
      <c r="B22" s="83" t="s">
        <v>236</v>
      </c>
      <c r="C22" s="84">
        <v>2000</v>
      </c>
      <c r="D22" s="85">
        <f>C22/0.8</f>
        <v>2500</v>
      </c>
      <c r="E22" s="86" t="s">
        <v>220</v>
      </c>
      <c r="F22" s="48" t="s">
        <v>184</v>
      </c>
      <c r="G22" s="49" t="s">
        <v>185</v>
      </c>
      <c r="H22" s="49" t="s">
        <v>186</v>
      </c>
      <c r="I22" s="50" t="s">
        <v>187</v>
      </c>
      <c r="J22" s="49" t="s">
        <v>188</v>
      </c>
      <c r="K22" s="49" t="s">
        <v>189</v>
      </c>
      <c r="L22" s="49" t="s">
        <v>190</v>
      </c>
      <c r="M22" s="49" t="s">
        <v>191</v>
      </c>
      <c r="N22" s="49" t="s">
        <v>192</v>
      </c>
      <c r="O22" s="49" t="s">
        <v>193</v>
      </c>
      <c r="P22" s="50" t="s">
        <v>194</v>
      </c>
      <c r="Q22" s="50" t="s">
        <v>195</v>
      </c>
      <c r="R22" s="49" t="s">
        <v>196</v>
      </c>
      <c r="S22" s="84" t="s">
        <v>235</v>
      </c>
      <c r="T22" s="77"/>
    </row>
    <row r="23" spans="1:20" ht="17.25" customHeight="1" x14ac:dyDescent="0.2">
      <c r="A23" s="77"/>
      <c r="B23" s="83"/>
      <c r="C23" s="84"/>
      <c r="D23" s="85"/>
      <c r="E23" s="86"/>
      <c r="F23" s="51" t="s">
        <v>198</v>
      </c>
      <c r="G23" s="52" t="s">
        <v>185</v>
      </c>
      <c r="H23" s="52" t="s">
        <v>186</v>
      </c>
      <c r="I23" s="52" t="s">
        <v>187</v>
      </c>
      <c r="J23" s="50" t="s">
        <v>188</v>
      </c>
      <c r="K23" s="50" t="s">
        <v>189</v>
      </c>
      <c r="L23" s="52" t="s">
        <v>190</v>
      </c>
      <c r="M23" s="52" t="s">
        <v>191</v>
      </c>
      <c r="N23" s="52" t="s">
        <v>192</v>
      </c>
      <c r="O23" s="50" t="s">
        <v>193</v>
      </c>
      <c r="P23" s="52" t="s">
        <v>194</v>
      </c>
      <c r="Q23" s="52" t="s">
        <v>195</v>
      </c>
      <c r="R23" s="52" t="s">
        <v>196</v>
      </c>
      <c r="S23" s="84"/>
      <c r="T23" s="77"/>
    </row>
    <row r="24" spans="1:20" ht="17.25" customHeight="1" x14ac:dyDescent="0.2">
      <c r="A24" s="78"/>
      <c r="B24" s="79" t="s">
        <v>237</v>
      </c>
      <c r="C24" s="80">
        <v>3200</v>
      </c>
      <c r="D24" s="81">
        <f>C24/0.8</f>
        <v>4000</v>
      </c>
      <c r="E24" s="82" t="s">
        <v>220</v>
      </c>
      <c r="F24" s="53" t="s">
        <v>184</v>
      </c>
      <c r="G24" s="54" t="s">
        <v>185</v>
      </c>
      <c r="H24" s="54" t="s">
        <v>186</v>
      </c>
      <c r="I24" s="54" t="s">
        <v>187</v>
      </c>
      <c r="J24" s="54" t="s">
        <v>188</v>
      </c>
      <c r="K24" s="55" t="s">
        <v>189</v>
      </c>
      <c r="L24" s="55" t="s">
        <v>190</v>
      </c>
      <c r="M24" s="55" t="s">
        <v>191</v>
      </c>
      <c r="N24" s="55" t="s">
        <v>192</v>
      </c>
      <c r="O24" s="55" t="s">
        <v>193</v>
      </c>
      <c r="P24" s="54" t="s">
        <v>194</v>
      </c>
      <c r="Q24" s="54" t="s">
        <v>195</v>
      </c>
      <c r="R24" s="54" t="s">
        <v>196</v>
      </c>
      <c r="S24" s="80" t="s">
        <v>238</v>
      </c>
      <c r="T24" s="78"/>
    </row>
    <row r="25" spans="1:20" ht="17.25" customHeight="1" x14ac:dyDescent="0.2">
      <c r="A25" s="78"/>
      <c r="B25" s="79"/>
      <c r="C25" s="80"/>
      <c r="D25" s="81"/>
      <c r="E25" s="82"/>
      <c r="F25" s="56" t="s">
        <v>198</v>
      </c>
      <c r="G25" s="57" t="s">
        <v>185</v>
      </c>
      <c r="H25" s="57" t="s">
        <v>186</v>
      </c>
      <c r="I25" s="57" t="s">
        <v>187</v>
      </c>
      <c r="J25" s="54" t="s">
        <v>188</v>
      </c>
      <c r="K25" s="54" t="s">
        <v>189</v>
      </c>
      <c r="L25" s="54" t="s">
        <v>190</v>
      </c>
      <c r="M25" s="54" t="s">
        <v>191</v>
      </c>
      <c r="N25" s="54" t="s">
        <v>192</v>
      </c>
      <c r="O25" s="54" t="s">
        <v>193</v>
      </c>
      <c r="P25" s="54" t="s">
        <v>194</v>
      </c>
      <c r="Q25" s="57" t="s">
        <v>195</v>
      </c>
      <c r="R25" s="57" t="s">
        <v>196</v>
      </c>
      <c r="S25" s="80"/>
      <c r="T25" s="78"/>
    </row>
    <row r="26" spans="1:20" ht="17.25" customHeight="1" x14ac:dyDescent="0.2">
      <c r="A26" s="77"/>
      <c r="B26" s="83" t="s">
        <v>239</v>
      </c>
      <c r="C26" s="84">
        <v>104</v>
      </c>
      <c r="D26" s="85">
        <f>C26/0.8</f>
        <v>130</v>
      </c>
      <c r="E26" s="86" t="s">
        <v>240</v>
      </c>
      <c r="F26" s="48" t="s">
        <v>184</v>
      </c>
      <c r="G26" s="49" t="s">
        <v>185</v>
      </c>
      <c r="H26" s="49" t="s">
        <v>186</v>
      </c>
      <c r="I26" s="49" t="s">
        <v>187</v>
      </c>
      <c r="J26" s="49" t="s">
        <v>188</v>
      </c>
      <c r="K26" s="49" t="s">
        <v>189</v>
      </c>
      <c r="L26" s="49" t="s">
        <v>190</v>
      </c>
      <c r="M26" s="49" t="s">
        <v>191</v>
      </c>
      <c r="N26" s="49" t="s">
        <v>192</v>
      </c>
      <c r="O26" s="49" t="s">
        <v>193</v>
      </c>
      <c r="P26" s="49" t="s">
        <v>194</v>
      </c>
      <c r="Q26" s="49" t="s">
        <v>195</v>
      </c>
      <c r="R26" s="49" t="s">
        <v>196</v>
      </c>
      <c r="S26" s="84" t="s">
        <v>241</v>
      </c>
      <c r="T26" s="77"/>
    </row>
    <row r="27" spans="1:20" ht="17.25" customHeight="1" x14ac:dyDescent="0.2">
      <c r="A27" s="77"/>
      <c r="B27" s="83"/>
      <c r="C27" s="84"/>
      <c r="D27" s="85"/>
      <c r="E27" s="86"/>
      <c r="F27" s="51" t="s">
        <v>198</v>
      </c>
      <c r="G27" s="52" t="s">
        <v>185</v>
      </c>
      <c r="H27" s="52" t="s">
        <v>186</v>
      </c>
      <c r="I27" s="52" t="s">
        <v>187</v>
      </c>
      <c r="J27" s="52" t="s">
        <v>188</v>
      </c>
      <c r="K27" s="52" t="s">
        <v>189</v>
      </c>
      <c r="L27" s="52" t="s">
        <v>190</v>
      </c>
      <c r="M27" s="52" t="s">
        <v>191</v>
      </c>
      <c r="N27" s="52" t="s">
        <v>192</v>
      </c>
      <c r="O27" s="52" t="s">
        <v>193</v>
      </c>
      <c r="P27" s="52" t="s">
        <v>194</v>
      </c>
      <c r="Q27" s="52" t="s">
        <v>195</v>
      </c>
      <c r="R27" s="52" t="s">
        <v>196</v>
      </c>
      <c r="S27" s="84"/>
      <c r="T27" s="77"/>
    </row>
    <row r="28" spans="1:20" ht="17.25" customHeight="1" x14ac:dyDescent="0.2">
      <c r="A28" s="78"/>
      <c r="B28" s="79" t="s">
        <v>242</v>
      </c>
      <c r="C28" s="80">
        <v>2400</v>
      </c>
      <c r="D28" s="81">
        <f>C28/0.8</f>
        <v>3000</v>
      </c>
      <c r="E28" s="82" t="s">
        <v>243</v>
      </c>
      <c r="F28" s="53" t="s">
        <v>184</v>
      </c>
      <c r="G28" s="54" t="s">
        <v>185</v>
      </c>
      <c r="H28" s="54" t="s">
        <v>186</v>
      </c>
      <c r="I28" s="54" t="s">
        <v>187</v>
      </c>
      <c r="J28" s="55" t="s">
        <v>188</v>
      </c>
      <c r="K28" s="55" t="s">
        <v>189</v>
      </c>
      <c r="L28" s="55" t="s">
        <v>190</v>
      </c>
      <c r="M28" s="55" t="s">
        <v>191</v>
      </c>
      <c r="N28" s="55" t="s">
        <v>192</v>
      </c>
      <c r="O28" s="55" t="s">
        <v>193</v>
      </c>
      <c r="P28" s="54" t="s">
        <v>194</v>
      </c>
      <c r="Q28" s="54" t="s">
        <v>195</v>
      </c>
      <c r="R28" s="54" t="s">
        <v>196</v>
      </c>
      <c r="S28" s="80" t="s">
        <v>241</v>
      </c>
      <c r="T28" s="78"/>
    </row>
    <row r="29" spans="1:20" ht="17.25" customHeight="1" x14ac:dyDescent="0.2">
      <c r="A29" s="78"/>
      <c r="B29" s="79"/>
      <c r="C29" s="80"/>
      <c r="D29" s="81"/>
      <c r="E29" s="82"/>
      <c r="F29" s="56" t="s">
        <v>198</v>
      </c>
      <c r="G29" s="57" t="s">
        <v>185</v>
      </c>
      <c r="H29" s="57" t="s">
        <v>186</v>
      </c>
      <c r="I29" s="57" t="s">
        <v>187</v>
      </c>
      <c r="J29" s="54" t="s">
        <v>188</v>
      </c>
      <c r="K29" s="54" t="s">
        <v>189</v>
      </c>
      <c r="L29" s="54" t="s">
        <v>190</v>
      </c>
      <c r="M29" s="54" t="s">
        <v>191</v>
      </c>
      <c r="N29" s="54" t="s">
        <v>192</v>
      </c>
      <c r="O29" s="54" t="s">
        <v>193</v>
      </c>
      <c r="P29" s="57" t="s">
        <v>194</v>
      </c>
      <c r="Q29" s="57" t="s">
        <v>195</v>
      </c>
      <c r="R29" s="57" t="s">
        <v>196</v>
      </c>
      <c r="S29" s="80"/>
      <c r="T29" s="78"/>
    </row>
    <row r="30" spans="1:20" ht="17.25" customHeight="1" x14ac:dyDescent="0.2">
      <c r="A30" s="77"/>
      <c r="B30" s="83" t="s">
        <v>244</v>
      </c>
      <c r="C30" s="84">
        <v>2000</v>
      </c>
      <c r="D30" s="85">
        <f>C30/0.8</f>
        <v>2500</v>
      </c>
      <c r="E30" s="86" t="s">
        <v>220</v>
      </c>
      <c r="F30" s="48" t="s">
        <v>184</v>
      </c>
      <c r="G30" s="50" t="s">
        <v>185</v>
      </c>
      <c r="H30" s="50" t="s">
        <v>186</v>
      </c>
      <c r="I30" s="50" t="s">
        <v>187</v>
      </c>
      <c r="J30" s="49" t="s">
        <v>188</v>
      </c>
      <c r="K30" s="49" t="s">
        <v>189</v>
      </c>
      <c r="L30" s="49" t="s">
        <v>190</v>
      </c>
      <c r="M30" s="49" t="s">
        <v>191</v>
      </c>
      <c r="N30" s="49" t="s">
        <v>192</v>
      </c>
      <c r="O30" s="49" t="s">
        <v>193</v>
      </c>
      <c r="P30" s="50" t="s">
        <v>194</v>
      </c>
      <c r="Q30" s="50" t="s">
        <v>195</v>
      </c>
      <c r="R30" s="50" t="s">
        <v>196</v>
      </c>
      <c r="S30" s="84" t="s">
        <v>238</v>
      </c>
      <c r="T30" s="77"/>
    </row>
    <row r="31" spans="1:20" ht="17.25" customHeight="1" x14ac:dyDescent="0.2">
      <c r="A31" s="77"/>
      <c r="B31" s="83"/>
      <c r="C31" s="84"/>
      <c r="D31" s="85"/>
      <c r="E31" s="86"/>
      <c r="F31" s="51" t="s">
        <v>198</v>
      </c>
      <c r="G31" s="52" t="s">
        <v>185</v>
      </c>
      <c r="H31" s="52" t="s">
        <v>186</v>
      </c>
      <c r="I31" s="52" t="s">
        <v>187</v>
      </c>
      <c r="J31" s="50" t="s">
        <v>188</v>
      </c>
      <c r="K31" s="50" t="s">
        <v>189</v>
      </c>
      <c r="L31" s="50" t="s">
        <v>190</v>
      </c>
      <c r="M31" s="50" t="s">
        <v>191</v>
      </c>
      <c r="N31" s="50" t="s">
        <v>192</v>
      </c>
      <c r="O31" s="50" t="s">
        <v>193</v>
      </c>
      <c r="P31" s="52" t="s">
        <v>194</v>
      </c>
      <c r="Q31" s="52" t="s">
        <v>195</v>
      </c>
      <c r="R31" s="52" t="s">
        <v>196</v>
      </c>
      <c r="S31" s="84"/>
      <c r="T31" s="77"/>
    </row>
    <row r="32" spans="1:20" ht="17.25" customHeight="1" x14ac:dyDescent="0.2">
      <c r="A32" s="78"/>
      <c r="B32" s="79" t="s">
        <v>245</v>
      </c>
      <c r="C32" s="80">
        <v>160</v>
      </c>
      <c r="D32" s="81">
        <f>C32/0.8</f>
        <v>200</v>
      </c>
      <c r="E32" s="82" t="s">
        <v>246</v>
      </c>
      <c r="F32" s="53" t="s">
        <v>184</v>
      </c>
      <c r="G32" s="54" t="s">
        <v>185</v>
      </c>
      <c r="H32" s="54" t="s">
        <v>186</v>
      </c>
      <c r="I32" s="54" t="s">
        <v>187</v>
      </c>
      <c r="J32" s="55" t="s">
        <v>188</v>
      </c>
      <c r="K32" s="55" t="s">
        <v>189</v>
      </c>
      <c r="L32" s="55" t="s">
        <v>190</v>
      </c>
      <c r="M32" s="55" t="s">
        <v>191</v>
      </c>
      <c r="N32" s="55" t="s">
        <v>192</v>
      </c>
      <c r="O32" s="55" t="s">
        <v>193</v>
      </c>
      <c r="P32" s="55" t="s">
        <v>194</v>
      </c>
      <c r="Q32" s="55" t="s">
        <v>195</v>
      </c>
      <c r="R32" s="54" t="s">
        <v>196</v>
      </c>
      <c r="S32" s="80" t="s">
        <v>228</v>
      </c>
      <c r="T32" s="78"/>
    </row>
    <row r="33" spans="1:20" ht="17.25" customHeight="1" x14ac:dyDescent="0.2">
      <c r="A33" s="78"/>
      <c r="B33" s="79"/>
      <c r="C33" s="80"/>
      <c r="D33" s="81"/>
      <c r="E33" s="82"/>
      <c r="F33" s="56" t="s">
        <v>198</v>
      </c>
      <c r="G33" s="57" t="s">
        <v>185</v>
      </c>
      <c r="H33" s="57" t="s">
        <v>186</v>
      </c>
      <c r="I33" s="57" t="s">
        <v>187</v>
      </c>
      <c r="J33" s="57" t="s">
        <v>188</v>
      </c>
      <c r="K33" s="57" t="s">
        <v>189</v>
      </c>
      <c r="L33" s="54" t="s">
        <v>190</v>
      </c>
      <c r="M33" s="54" t="s">
        <v>191</v>
      </c>
      <c r="N33" s="54" t="s">
        <v>192</v>
      </c>
      <c r="O33" s="54" t="s">
        <v>193</v>
      </c>
      <c r="P33" s="57" t="s">
        <v>194</v>
      </c>
      <c r="Q33" s="57" t="s">
        <v>195</v>
      </c>
      <c r="R33" s="57" t="s">
        <v>196</v>
      </c>
      <c r="S33" s="80"/>
      <c r="T33" s="78"/>
    </row>
    <row r="34" spans="1:20" ht="17.25" customHeight="1" x14ac:dyDescent="0.2">
      <c r="A34" s="77"/>
      <c r="B34" s="83" t="s">
        <v>247</v>
      </c>
      <c r="C34" s="84">
        <v>480</v>
      </c>
      <c r="D34" s="85">
        <f>C34/0.8</f>
        <v>600</v>
      </c>
      <c r="E34" s="86" t="s">
        <v>246</v>
      </c>
      <c r="F34" s="48" t="s">
        <v>184</v>
      </c>
      <c r="G34" s="50" t="s">
        <v>185</v>
      </c>
      <c r="H34" s="50" t="s">
        <v>186</v>
      </c>
      <c r="I34" s="50" t="s">
        <v>187</v>
      </c>
      <c r="J34" s="50" t="s">
        <v>188</v>
      </c>
      <c r="K34" s="50" t="s">
        <v>189</v>
      </c>
      <c r="L34" s="50" t="s">
        <v>190</v>
      </c>
      <c r="M34" s="50" t="s">
        <v>191</v>
      </c>
      <c r="N34" s="49" t="s">
        <v>192</v>
      </c>
      <c r="O34" s="49" t="s">
        <v>193</v>
      </c>
      <c r="P34" s="49" t="s">
        <v>194</v>
      </c>
      <c r="Q34" s="49" t="s">
        <v>195</v>
      </c>
      <c r="R34" s="50" t="s">
        <v>196</v>
      </c>
      <c r="S34" s="84" t="s">
        <v>228</v>
      </c>
      <c r="T34" s="77"/>
    </row>
    <row r="35" spans="1:20" ht="17.25" customHeight="1" x14ac:dyDescent="0.2">
      <c r="A35" s="77"/>
      <c r="B35" s="83"/>
      <c r="C35" s="84"/>
      <c r="D35" s="85"/>
      <c r="E35" s="86"/>
      <c r="F35" s="51" t="s">
        <v>198</v>
      </c>
      <c r="G35" s="50" t="s">
        <v>185</v>
      </c>
      <c r="H35" s="52" t="s">
        <v>186</v>
      </c>
      <c r="I35" s="52" t="s">
        <v>187</v>
      </c>
      <c r="J35" s="52" t="s">
        <v>188</v>
      </c>
      <c r="K35" s="52" t="s">
        <v>189</v>
      </c>
      <c r="L35" s="50" t="s">
        <v>190</v>
      </c>
      <c r="M35" s="50" t="s">
        <v>191</v>
      </c>
      <c r="N35" s="50" t="s">
        <v>192</v>
      </c>
      <c r="O35" s="50" t="s">
        <v>193</v>
      </c>
      <c r="P35" s="50" t="s">
        <v>194</v>
      </c>
      <c r="Q35" s="50" t="s">
        <v>195</v>
      </c>
      <c r="R35" s="50" t="s">
        <v>196</v>
      </c>
      <c r="S35" s="84"/>
      <c r="T35" s="77"/>
    </row>
    <row r="36" spans="1:20" ht="17.25" customHeight="1" x14ac:dyDescent="0.2">
      <c r="A36" s="78"/>
      <c r="B36" s="79" t="s">
        <v>248</v>
      </c>
      <c r="C36" s="80">
        <v>320</v>
      </c>
      <c r="D36" s="81">
        <f>C36/0.8</f>
        <v>400</v>
      </c>
      <c r="E36" s="82" t="s">
        <v>246</v>
      </c>
      <c r="F36" s="53" t="s">
        <v>184</v>
      </c>
      <c r="G36" s="54" t="s">
        <v>185</v>
      </c>
      <c r="H36" s="54" t="s">
        <v>186</v>
      </c>
      <c r="I36" s="54" t="s">
        <v>187</v>
      </c>
      <c r="J36" s="54" t="s">
        <v>188</v>
      </c>
      <c r="K36" s="54" t="s">
        <v>189</v>
      </c>
      <c r="L36" s="54" t="s">
        <v>190</v>
      </c>
      <c r="M36" s="54" t="s">
        <v>191</v>
      </c>
      <c r="N36" s="55" t="s">
        <v>192</v>
      </c>
      <c r="O36" s="55" t="s">
        <v>193</v>
      </c>
      <c r="P36" s="55" t="s">
        <v>194</v>
      </c>
      <c r="Q36" s="55" t="s">
        <v>195</v>
      </c>
      <c r="R36" s="54" t="s">
        <v>196</v>
      </c>
      <c r="S36" s="80" t="s">
        <v>228</v>
      </c>
      <c r="T36" s="78"/>
    </row>
    <row r="37" spans="1:20" ht="17.25" customHeight="1" x14ac:dyDescent="0.2">
      <c r="A37" s="78"/>
      <c r="B37" s="79"/>
      <c r="C37" s="80"/>
      <c r="D37" s="81"/>
      <c r="E37" s="82"/>
      <c r="F37" s="56" t="s">
        <v>198</v>
      </c>
      <c r="G37" s="54" t="s">
        <v>185</v>
      </c>
      <c r="H37" s="57" t="s">
        <v>186</v>
      </c>
      <c r="I37" s="57" t="s">
        <v>187</v>
      </c>
      <c r="J37" s="57" t="s">
        <v>188</v>
      </c>
      <c r="K37" s="57" t="s">
        <v>189</v>
      </c>
      <c r="L37" s="54" t="s">
        <v>190</v>
      </c>
      <c r="M37" s="54" t="s">
        <v>191</v>
      </c>
      <c r="N37" s="54" t="s">
        <v>192</v>
      </c>
      <c r="O37" s="54" t="s">
        <v>193</v>
      </c>
      <c r="P37" s="54" t="s">
        <v>194</v>
      </c>
      <c r="Q37" s="54" t="s">
        <v>195</v>
      </c>
      <c r="R37" s="54" t="s">
        <v>196</v>
      </c>
      <c r="S37" s="80"/>
      <c r="T37" s="78"/>
    </row>
    <row r="38" spans="1:20" ht="17.25" customHeight="1" x14ac:dyDescent="0.2">
      <c r="A38" s="77"/>
      <c r="B38" s="83" t="s">
        <v>249</v>
      </c>
      <c r="C38" s="84">
        <v>128</v>
      </c>
      <c r="D38" s="85">
        <f>C38/0.8</f>
        <v>160</v>
      </c>
      <c r="E38" s="86" t="s">
        <v>246</v>
      </c>
      <c r="F38" s="48" t="s">
        <v>184</v>
      </c>
      <c r="G38" s="50" t="s">
        <v>185</v>
      </c>
      <c r="H38" s="50" t="s">
        <v>186</v>
      </c>
      <c r="I38" s="50" t="s">
        <v>187</v>
      </c>
      <c r="J38" s="50" t="s">
        <v>188</v>
      </c>
      <c r="K38" s="50" t="s">
        <v>189</v>
      </c>
      <c r="L38" s="50" t="s">
        <v>190</v>
      </c>
      <c r="M38" s="49" t="s">
        <v>191</v>
      </c>
      <c r="N38" s="49" t="s">
        <v>192</v>
      </c>
      <c r="O38" s="49" t="s">
        <v>193</v>
      </c>
      <c r="P38" s="50" t="s">
        <v>194</v>
      </c>
      <c r="Q38" s="50" t="s">
        <v>195</v>
      </c>
      <c r="R38" s="50" t="s">
        <v>196</v>
      </c>
      <c r="S38" s="84" t="s">
        <v>235</v>
      </c>
      <c r="T38" s="77"/>
    </row>
    <row r="39" spans="1:20" ht="17.25" customHeight="1" x14ac:dyDescent="0.2">
      <c r="A39" s="77"/>
      <c r="B39" s="83"/>
      <c r="C39" s="84"/>
      <c r="D39" s="85"/>
      <c r="E39" s="86"/>
      <c r="F39" s="51" t="s">
        <v>198</v>
      </c>
      <c r="G39" s="52" t="s">
        <v>185</v>
      </c>
      <c r="H39" s="52" t="s">
        <v>186</v>
      </c>
      <c r="I39" s="52" t="s">
        <v>187</v>
      </c>
      <c r="J39" s="50" t="s">
        <v>188</v>
      </c>
      <c r="K39" s="50" t="s">
        <v>189</v>
      </c>
      <c r="L39" s="50" t="s">
        <v>190</v>
      </c>
      <c r="M39" s="50" t="s">
        <v>191</v>
      </c>
      <c r="N39" s="50" t="s">
        <v>192</v>
      </c>
      <c r="O39" s="50" t="s">
        <v>193</v>
      </c>
      <c r="P39" s="50" t="s">
        <v>194</v>
      </c>
      <c r="Q39" s="50" t="s">
        <v>195</v>
      </c>
      <c r="R39" s="50" t="s">
        <v>196</v>
      </c>
      <c r="S39" s="84"/>
      <c r="T39" s="77"/>
    </row>
    <row r="40" spans="1:20" ht="17.25" customHeight="1" x14ac:dyDescent="0.2">
      <c r="A40" s="78"/>
      <c r="B40" s="79" t="s">
        <v>250</v>
      </c>
      <c r="C40" s="80">
        <v>104</v>
      </c>
      <c r="D40" s="81">
        <f>C40/0.8</f>
        <v>130</v>
      </c>
      <c r="E40" s="82" t="s">
        <v>246</v>
      </c>
      <c r="F40" s="53" t="s">
        <v>184</v>
      </c>
      <c r="G40" s="54" t="s">
        <v>185</v>
      </c>
      <c r="H40" s="54" t="s">
        <v>186</v>
      </c>
      <c r="I40" s="54" t="s">
        <v>187</v>
      </c>
      <c r="J40" s="54" t="s">
        <v>188</v>
      </c>
      <c r="K40" s="54" t="s">
        <v>189</v>
      </c>
      <c r="L40" s="54" t="s">
        <v>190</v>
      </c>
      <c r="M40" s="54" t="s">
        <v>191</v>
      </c>
      <c r="N40" s="54" t="s">
        <v>192</v>
      </c>
      <c r="O40" s="55" t="s">
        <v>193</v>
      </c>
      <c r="P40" s="55" t="s">
        <v>194</v>
      </c>
      <c r="Q40" s="55" t="s">
        <v>195</v>
      </c>
      <c r="R40" s="54" t="s">
        <v>196</v>
      </c>
      <c r="S40" s="80" t="s">
        <v>251</v>
      </c>
      <c r="T40" s="78"/>
    </row>
    <row r="41" spans="1:20" ht="17.25" customHeight="1" x14ac:dyDescent="0.2">
      <c r="A41" s="78"/>
      <c r="B41" s="79"/>
      <c r="C41" s="80"/>
      <c r="D41" s="81"/>
      <c r="E41" s="82"/>
      <c r="F41" s="56" t="s">
        <v>198</v>
      </c>
      <c r="G41" s="54" t="s">
        <v>185</v>
      </c>
      <c r="H41" s="54" t="s">
        <v>186</v>
      </c>
      <c r="I41" s="57" t="s">
        <v>187</v>
      </c>
      <c r="J41" s="57" t="s">
        <v>188</v>
      </c>
      <c r="K41" s="57" t="s">
        <v>189</v>
      </c>
      <c r="L41" s="54" t="s">
        <v>190</v>
      </c>
      <c r="M41" s="54" t="s">
        <v>191</v>
      </c>
      <c r="N41" s="54" t="s">
        <v>192</v>
      </c>
      <c r="O41" s="54" t="s">
        <v>193</v>
      </c>
      <c r="P41" s="54" t="s">
        <v>194</v>
      </c>
      <c r="Q41" s="54" t="s">
        <v>195</v>
      </c>
      <c r="R41" s="54" t="s">
        <v>196</v>
      </c>
      <c r="S41" s="80"/>
      <c r="T41" s="78"/>
    </row>
    <row r="42" spans="1:20" ht="17.25" customHeight="1" x14ac:dyDescent="0.2">
      <c r="A42" s="77"/>
      <c r="B42" s="83" t="s">
        <v>252</v>
      </c>
      <c r="C42" s="84">
        <v>344</v>
      </c>
      <c r="D42" s="85">
        <f>C42/0.8</f>
        <v>430</v>
      </c>
      <c r="E42" s="86" t="s">
        <v>246</v>
      </c>
      <c r="F42" s="48" t="s">
        <v>184</v>
      </c>
      <c r="G42" s="50" t="s">
        <v>185</v>
      </c>
      <c r="H42" s="50" t="s">
        <v>186</v>
      </c>
      <c r="I42" s="50" t="s">
        <v>187</v>
      </c>
      <c r="J42" s="50" t="s">
        <v>188</v>
      </c>
      <c r="K42" s="50" t="s">
        <v>189</v>
      </c>
      <c r="L42" s="50" t="s">
        <v>190</v>
      </c>
      <c r="M42" s="50" t="s">
        <v>191</v>
      </c>
      <c r="N42" s="50" t="s">
        <v>192</v>
      </c>
      <c r="O42" s="49" t="s">
        <v>193</v>
      </c>
      <c r="P42" s="49" t="s">
        <v>194</v>
      </c>
      <c r="Q42" s="50" t="s">
        <v>195</v>
      </c>
      <c r="R42" s="50" t="s">
        <v>196</v>
      </c>
      <c r="S42" s="84" t="s">
        <v>251</v>
      </c>
      <c r="T42" s="77"/>
    </row>
    <row r="43" spans="1:20" ht="17.25" customHeight="1" x14ac:dyDescent="0.2">
      <c r="A43" s="77"/>
      <c r="B43" s="83"/>
      <c r="C43" s="84"/>
      <c r="D43" s="85"/>
      <c r="E43" s="86"/>
      <c r="F43" s="51" t="s">
        <v>198</v>
      </c>
      <c r="G43" s="50" t="s">
        <v>185</v>
      </c>
      <c r="H43" s="50" t="s">
        <v>186</v>
      </c>
      <c r="I43" s="52" t="s">
        <v>187</v>
      </c>
      <c r="J43" s="52" t="s">
        <v>188</v>
      </c>
      <c r="K43" s="50" t="s">
        <v>189</v>
      </c>
      <c r="L43" s="50" t="s">
        <v>190</v>
      </c>
      <c r="M43" s="50" t="s">
        <v>191</v>
      </c>
      <c r="N43" s="50" t="s">
        <v>192</v>
      </c>
      <c r="O43" s="50" t="s">
        <v>193</v>
      </c>
      <c r="P43" s="50" t="s">
        <v>194</v>
      </c>
      <c r="Q43" s="50" t="s">
        <v>195</v>
      </c>
      <c r="R43" s="50" t="s">
        <v>196</v>
      </c>
      <c r="S43" s="84"/>
      <c r="T43" s="77"/>
    </row>
    <row r="44" spans="1:20" ht="17.25" customHeight="1" x14ac:dyDescent="0.2">
      <c r="A44" s="78"/>
      <c r="B44" s="79" t="s">
        <v>253</v>
      </c>
      <c r="C44" s="80">
        <v>344</v>
      </c>
      <c r="D44" s="81">
        <f>C44/0.8</f>
        <v>430</v>
      </c>
      <c r="E44" s="82" t="s">
        <v>254</v>
      </c>
      <c r="F44" s="53" t="s">
        <v>184</v>
      </c>
      <c r="G44" s="54" t="s">
        <v>185</v>
      </c>
      <c r="H44" s="54" t="s">
        <v>186</v>
      </c>
      <c r="I44" s="55" t="s">
        <v>187</v>
      </c>
      <c r="J44" s="55" t="s">
        <v>188</v>
      </c>
      <c r="K44" s="55" t="s">
        <v>189</v>
      </c>
      <c r="L44" s="55" t="s">
        <v>190</v>
      </c>
      <c r="M44" s="55" t="s">
        <v>191</v>
      </c>
      <c r="N44" s="55" t="s">
        <v>192</v>
      </c>
      <c r="O44" s="55" t="s">
        <v>193</v>
      </c>
      <c r="P44" s="55" t="s">
        <v>194</v>
      </c>
      <c r="Q44" s="55" t="s">
        <v>195</v>
      </c>
      <c r="R44" s="54" t="s">
        <v>196</v>
      </c>
      <c r="S44" s="80" t="s">
        <v>235</v>
      </c>
      <c r="T44" s="78"/>
    </row>
    <row r="45" spans="1:20" ht="17.25" customHeight="1" x14ac:dyDescent="0.2">
      <c r="A45" s="78"/>
      <c r="B45" s="79"/>
      <c r="C45" s="80"/>
      <c r="D45" s="81"/>
      <c r="E45" s="82"/>
      <c r="F45" s="56" t="s">
        <v>198</v>
      </c>
      <c r="G45" s="57" t="s">
        <v>185</v>
      </c>
      <c r="H45" s="57" t="s">
        <v>186</v>
      </c>
      <c r="I45" s="57" t="s">
        <v>187</v>
      </c>
      <c r="J45" s="57" t="s">
        <v>188</v>
      </c>
      <c r="K45" s="57" t="s">
        <v>189</v>
      </c>
      <c r="L45" s="54" t="s">
        <v>190</v>
      </c>
      <c r="M45" s="54" t="s">
        <v>191</v>
      </c>
      <c r="N45" s="54" t="s">
        <v>192</v>
      </c>
      <c r="O45" s="57" t="s">
        <v>193</v>
      </c>
      <c r="P45" s="57" t="s">
        <v>194</v>
      </c>
      <c r="Q45" s="57" t="s">
        <v>195</v>
      </c>
      <c r="R45" s="57" t="s">
        <v>196</v>
      </c>
      <c r="S45" s="80"/>
      <c r="T45" s="78"/>
    </row>
    <row r="46" spans="1:20" ht="17.25" customHeight="1" x14ac:dyDescent="0.2">
      <c r="A46" s="77"/>
      <c r="B46" s="83" t="s">
        <v>255</v>
      </c>
      <c r="C46" s="84">
        <v>1920</v>
      </c>
      <c r="D46" s="85">
        <f>C46/0.8</f>
        <v>2400</v>
      </c>
      <c r="E46" s="86" t="s">
        <v>254</v>
      </c>
      <c r="F46" s="48" t="s">
        <v>184</v>
      </c>
      <c r="G46" s="50" t="s">
        <v>185</v>
      </c>
      <c r="H46" s="50" t="s">
        <v>186</v>
      </c>
      <c r="I46" s="49" t="s">
        <v>187</v>
      </c>
      <c r="J46" s="49" t="s">
        <v>188</v>
      </c>
      <c r="K46" s="49" t="s">
        <v>189</v>
      </c>
      <c r="L46" s="49" t="s">
        <v>190</v>
      </c>
      <c r="M46" s="49" t="s">
        <v>191</v>
      </c>
      <c r="N46" s="49" t="s">
        <v>192</v>
      </c>
      <c r="O46" s="49" t="s">
        <v>193</v>
      </c>
      <c r="P46" s="49" t="s">
        <v>194</v>
      </c>
      <c r="Q46" s="49" t="s">
        <v>195</v>
      </c>
      <c r="R46" s="50" t="s">
        <v>196</v>
      </c>
      <c r="S46" s="84" t="s">
        <v>235</v>
      </c>
      <c r="T46" s="77"/>
    </row>
    <row r="47" spans="1:20" ht="17.25" customHeight="1" x14ac:dyDescent="0.2">
      <c r="A47" s="77"/>
      <c r="B47" s="83"/>
      <c r="C47" s="84"/>
      <c r="D47" s="85"/>
      <c r="E47" s="86"/>
      <c r="F47" s="51" t="s">
        <v>198</v>
      </c>
      <c r="G47" s="52" t="s">
        <v>185</v>
      </c>
      <c r="H47" s="52" t="s">
        <v>186</v>
      </c>
      <c r="I47" s="52" t="s">
        <v>187</v>
      </c>
      <c r="J47" s="52" t="s">
        <v>188</v>
      </c>
      <c r="K47" s="52" t="s">
        <v>189</v>
      </c>
      <c r="L47" s="50" t="s">
        <v>190</v>
      </c>
      <c r="M47" s="50" t="s">
        <v>191</v>
      </c>
      <c r="N47" s="50" t="s">
        <v>192</v>
      </c>
      <c r="O47" s="52" t="s">
        <v>193</v>
      </c>
      <c r="P47" s="52" t="s">
        <v>194</v>
      </c>
      <c r="Q47" s="52" t="s">
        <v>195</v>
      </c>
      <c r="R47" s="52" t="s">
        <v>196</v>
      </c>
      <c r="S47" s="84"/>
      <c r="T47" s="77"/>
    </row>
    <row r="48" spans="1:20" ht="17.25" customHeight="1" x14ac:dyDescent="0.2">
      <c r="A48" s="78"/>
      <c r="B48" s="79" t="s">
        <v>256</v>
      </c>
      <c r="C48" s="80">
        <v>160</v>
      </c>
      <c r="D48" s="81">
        <f>C48/0.8</f>
        <v>200</v>
      </c>
      <c r="E48" s="82" t="s">
        <v>257</v>
      </c>
      <c r="F48" s="53" t="s">
        <v>184</v>
      </c>
      <c r="G48" s="54" t="s">
        <v>185</v>
      </c>
      <c r="H48" s="54" t="s">
        <v>186</v>
      </c>
      <c r="I48" s="55" t="s">
        <v>187</v>
      </c>
      <c r="J48" s="55" t="s">
        <v>188</v>
      </c>
      <c r="K48" s="55" t="s">
        <v>189</v>
      </c>
      <c r="L48" s="55" t="s">
        <v>190</v>
      </c>
      <c r="M48" s="55" t="s">
        <v>191</v>
      </c>
      <c r="N48" s="54" t="s">
        <v>192</v>
      </c>
      <c r="O48" s="54" t="s">
        <v>193</v>
      </c>
      <c r="P48" s="54" t="s">
        <v>194</v>
      </c>
      <c r="Q48" s="54" t="s">
        <v>195</v>
      </c>
      <c r="R48" s="54" t="s">
        <v>196</v>
      </c>
      <c r="S48" s="80" t="s">
        <v>235</v>
      </c>
      <c r="T48" s="78"/>
    </row>
    <row r="49" spans="1:20" ht="17.25" customHeight="1" x14ac:dyDescent="0.2">
      <c r="A49" s="78"/>
      <c r="B49" s="79"/>
      <c r="C49" s="80"/>
      <c r="D49" s="81"/>
      <c r="E49" s="82"/>
      <c r="F49" s="56" t="s">
        <v>198</v>
      </c>
      <c r="G49" s="52" t="s">
        <v>185</v>
      </c>
      <c r="H49" s="50" t="s">
        <v>186</v>
      </c>
      <c r="I49" s="50" t="s">
        <v>187</v>
      </c>
      <c r="J49" s="50" t="s">
        <v>188</v>
      </c>
      <c r="K49" s="50" t="s">
        <v>189</v>
      </c>
      <c r="L49" s="50" t="s">
        <v>190</v>
      </c>
      <c r="M49" s="50" t="s">
        <v>191</v>
      </c>
      <c r="N49" s="50" t="s">
        <v>192</v>
      </c>
      <c r="O49" s="52" t="s">
        <v>193</v>
      </c>
      <c r="P49" s="52" t="s">
        <v>194</v>
      </c>
      <c r="Q49" s="52" t="s">
        <v>195</v>
      </c>
      <c r="R49" s="52" t="s">
        <v>196</v>
      </c>
      <c r="S49" s="80"/>
      <c r="T49" s="78"/>
    </row>
    <row r="50" spans="1:20" ht="17.25" customHeight="1" x14ac:dyDescent="0.2">
      <c r="A50" s="77"/>
      <c r="B50" s="83" t="s">
        <v>258</v>
      </c>
      <c r="C50" s="84">
        <v>2000</v>
      </c>
      <c r="D50" s="85">
        <f>C50/0.8</f>
        <v>2500</v>
      </c>
      <c r="E50" s="86" t="s">
        <v>259</v>
      </c>
      <c r="F50" s="48" t="s">
        <v>184</v>
      </c>
      <c r="G50" s="49" t="s">
        <v>185</v>
      </c>
      <c r="H50" s="49" t="s">
        <v>186</v>
      </c>
      <c r="I50" s="49" t="s">
        <v>187</v>
      </c>
      <c r="J50" s="49" t="s">
        <v>188</v>
      </c>
      <c r="K50" s="49" t="s">
        <v>189</v>
      </c>
      <c r="L50" s="49" t="s">
        <v>190</v>
      </c>
      <c r="M50" s="49" t="s">
        <v>191</v>
      </c>
      <c r="N50" s="49" t="s">
        <v>192</v>
      </c>
      <c r="O50" s="49" t="s">
        <v>193</v>
      </c>
      <c r="P50" s="49" t="s">
        <v>194</v>
      </c>
      <c r="Q50" s="49" t="s">
        <v>195</v>
      </c>
      <c r="R50" s="49" t="s">
        <v>196</v>
      </c>
      <c r="S50" s="84" t="s">
        <v>197</v>
      </c>
      <c r="T50" s="77"/>
    </row>
    <row r="51" spans="1:20" ht="17.25" customHeight="1" x14ac:dyDescent="0.2">
      <c r="A51" s="77"/>
      <c r="B51" s="83"/>
      <c r="C51" s="84"/>
      <c r="D51" s="85"/>
      <c r="E51" s="86"/>
      <c r="F51" s="51" t="s">
        <v>198</v>
      </c>
      <c r="G51" s="52" t="s">
        <v>185</v>
      </c>
      <c r="H51" s="52" t="s">
        <v>186</v>
      </c>
      <c r="I51" s="52" t="s">
        <v>187</v>
      </c>
      <c r="J51" s="52" t="s">
        <v>188</v>
      </c>
      <c r="K51" s="52" t="s">
        <v>189</v>
      </c>
      <c r="L51" s="52" t="s">
        <v>190</v>
      </c>
      <c r="M51" s="52" t="s">
        <v>191</v>
      </c>
      <c r="N51" s="52" t="s">
        <v>192</v>
      </c>
      <c r="O51" s="52" t="s">
        <v>193</v>
      </c>
      <c r="P51" s="52" t="s">
        <v>194</v>
      </c>
      <c r="Q51" s="52" t="s">
        <v>195</v>
      </c>
      <c r="R51" s="52" t="s">
        <v>196</v>
      </c>
      <c r="S51" s="84"/>
      <c r="T51" s="77"/>
    </row>
    <row r="52" spans="1:20" ht="17.25" customHeight="1" x14ac:dyDescent="0.2">
      <c r="A52" s="78"/>
      <c r="B52" s="79" t="s">
        <v>260</v>
      </c>
      <c r="C52" s="78"/>
      <c r="D52" s="81">
        <f>C52/0.8</f>
        <v>0</v>
      </c>
      <c r="E52" s="82" t="s">
        <v>243</v>
      </c>
      <c r="F52" s="53" t="s">
        <v>184</v>
      </c>
      <c r="G52" s="54" t="s">
        <v>185</v>
      </c>
      <c r="H52" s="54" t="s">
        <v>186</v>
      </c>
      <c r="I52" s="54" t="s">
        <v>187</v>
      </c>
      <c r="J52" s="54" t="s">
        <v>188</v>
      </c>
      <c r="K52" s="54" t="s">
        <v>189</v>
      </c>
      <c r="L52" s="54" t="s">
        <v>190</v>
      </c>
      <c r="M52" s="55" t="s">
        <v>191</v>
      </c>
      <c r="N52" s="55" t="s">
        <v>192</v>
      </c>
      <c r="O52" s="54" t="s">
        <v>193</v>
      </c>
      <c r="P52" s="54" t="s">
        <v>194</v>
      </c>
      <c r="Q52" s="54" t="s">
        <v>195</v>
      </c>
      <c r="R52" s="54" t="s">
        <v>196</v>
      </c>
      <c r="S52" s="80" t="s">
        <v>213</v>
      </c>
      <c r="T52" s="78"/>
    </row>
    <row r="53" spans="1:20" ht="17.25" customHeight="1" x14ac:dyDescent="0.2">
      <c r="A53" s="78"/>
      <c r="B53" s="79"/>
      <c r="C53" s="78"/>
      <c r="D53" s="81"/>
      <c r="E53" s="82"/>
      <c r="F53" s="56" t="s">
        <v>198</v>
      </c>
      <c r="G53" s="57" t="s">
        <v>185</v>
      </c>
      <c r="H53" s="57" t="s">
        <v>186</v>
      </c>
      <c r="I53" s="54" t="s">
        <v>187</v>
      </c>
      <c r="J53" s="54" t="s">
        <v>188</v>
      </c>
      <c r="K53" s="54" t="s">
        <v>189</v>
      </c>
      <c r="L53" s="54" t="s">
        <v>190</v>
      </c>
      <c r="M53" s="54" t="s">
        <v>191</v>
      </c>
      <c r="N53" s="54" t="s">
        <v>192</v>
      </c>
      <c r="O53" s="54" t="s">
        <v>193</v>
      </c>
      <c r="P53" s="54" t="s">
        <v>194</v>
      </c>
      <c r="Q53" s="54" t="s">
        <v>195</v>
      </c>
      <c r="R53" s="54" t="s">
        <v>196</v>
      </c>
      <c r="S53" s="80"/>
      <c r="T53" s="78"/>
    </row>
    <row r="54" spans="1:20" ht="17.25" customHeight="1" x14ac:dyDescent="0.2">
      <c r="A54" s="77"/>
      <c r="B54" s="83" t="s">
        <v>261</v>
      </c>
      <c r="C54" s="77"/>
      <c r="D54" s="85">
        <f>C54/0.8</f>
        <v>0</v>
      </c>
      <c r="E54" s="86" t="s">
        <v>243</v>
      </c>
      <c r="F54" s="48" t="s">
        <v>184</v>
      </c>
      <c r="G54" s="50" t="s">
        <v>185</v>
      </c>
      <c r="H54" s="50" t="s">
        <v>186</v>
      </c>
      <c r="I54" s="50" t="s">
        <v>187</v>
      </c>
      <c r="J54" s="50" t="s">
        <v>188</v>
      </c>
      <c r="K54" s="50" t="s">
        <v>189</v>
      </c>
      <c r="L54" s="50" t="s">
        <v>190</v>
      </c>
      <c r="M54" s="49" t="s">
        <v>191</v>
      </c>
      <c r="N54" s="49" t="s">
        <v>192</v>
      </c>
      <c r="O54" s="50" t="s">
        <v>193</v>
      </c>
      <c r="P54" s="50" t="s">
        <v>194</v>
      </c>
      <c r="Q54" s="50" t="s">
        <v>195</v>
      </c>
      <c r="R54" s="50" t="s">
        <v>196</v>
      </c>
      <c r="S54" s="84" t="s">
        <v>213</v>
      </c>
      <c r="T54" s="77"/>
    </row>
    <row r="55" spans="1:20" ht="17.25" customHeight="1" x14ac:dyDescent="0.2">
      <c r="A55" s="77"/>
      <c r="B55" s="83"/>
      <c r="C55" s="77"/>
      <c r="D55" s="85"/>
      <c r="E55" s="86"/>
      <c r="F55" s="51" t="s">
        <v>198</v>
      </c>
      <c r="G55" s="52" t="s">
        <v>185</v>
      </c>
      <c r="H55" s="52" t="s">
        <v>186</v>
      </c>
      <c r="I55" s="50" t="s">
        <v>187</v>
      </c>
      <c r="J55" s="50" t="s">
        <v>188</v>
      </c>
      <c r="K55" s="50" t="s">
        <v>189</v>
      </c>
      <c r="L55" s="50" t="s">
        <v>190</v>
      </c>
      <c r="M55" s="50" t="s">
        <v>191</v>
      </c>
      <c r="N55" s="50" t="s">
        <v>192</v>
      </c>
      <c r="O55" s="50" t="s">
        <v>193</v>
      </c>
      <c r="P55" s="50" t="s">
        <v>194</v>
      </c>
      <c r="Q55" s="50" t="s">
        <v>195</v>
      </c>
      <c r="R55" s="50" t="s">
        <v>196</v>
      </c>
      <c r="S55" s="84"/>
      <c r="T55" s="77"/>
    </row>
    <row r="56" spans="1:20" ht="17.25" customHeight="1" x14ac:dyDescent="0.2">
      <c r="A56" s="78"/>
      <c r="B56" s="79" t="s">
        <v>262</v>
      </c>
      <c r="C56" s="78"/>
      <c r="D56" s="81">
        <f>C56/0.8</f>
        <v>0</v>
      </c>
      <c r="E56" s="82" t="s">
        <v>243</v>
      </c>
      <c r="F56" s="53" t="s">
        <v>184</v>
      </c>
      <c r="G56" s="54" t="s">
        <v>185</v>
      </c>
      <c r="H56" s="54" t="s">
        <v>186</v>
      </c>
      <c r="I56" s="54" t="s">
        <v>187</v>
      </c>
      <c r="J56" s="54" t="s">
        <v>188</v>
      </c>
      <c r="K56" s="54" t="s">
        <v>189</v>
      </c>
      <c r="L56" s="54" t="s">
        <v>190</v>
      </c>
      <c r="M56" s="55" t="s">
        <v>191</v>
      </c>
      <c r="N56" s="55" t="s">
        <v>192</v>
      </c>
      <c r="O56" s="54" t="s">
        <v>193</v>
      </c>
      <c r="P56" s="54" t="s">
        <v>194</v>
      </c>
      <c r="Q56" s="54" t="s">
        <v>195</v>
      </c>
      <c r="R56" s="54" t="s">
        <v>196</v>
      </c>
      <c r="S56" s="80" t="s">
        <v>213</v>
      </c>
      <c r="T56" s="78"/>
    </row>
    <row r="57" spans="1:20" ht="17.25" customHeight="1" x14ac:dyDescent="0.2">
      <c r="A57" s="78"/>
      <c r="B57" s="79"/>
      <c r="C57" s="78"/>
      <c r="D57" s="81"/>
      <c r="E57" s="82"/>
      <c r="F57" s="56" t="s">
        <v>198</v>
      </c>
      <c r="G57" s="57" t="s">
        <v>185</v>
      </c>
      <c r="H57" s="57" t="s">
        <v>186</v>
      </c>
      <c r="I57" s="54" t="s">
        <v>187</v>
      </c>
      <c r="J57" s="54" t="s">
        <v>188</v>
      </c>
      <c r="K57" s="54" t="s">
        <v>189</v>
      </c>
      <c r="L57" s="54" t="s">
        <v>190</v>
      </c>
      <c r="M57" s="54" t="s">
        <v>191</v>
      </c>
      <c r="N57" s="54" t="s">
        <v>192</v>
      </c>
      <c r="O57" s="54" t="s">
        <v>193</v>
      </c>
      <c r="P57" s="54" t="s">
        <v>194</v>
      </c>
      <c r="Q57" s="54" t="s">
        <v>195</v>
      </c>
      <c r="R57" s="54" t="s">
        <v>196</v>
      </c>
      <c r="S57" s="80"/>
      <c r="T57" s="78"/>
    </row>
    <row r="58" spans="1:20" ht="17.25" customHeight="1" x14ac:dyDescent="0.2">
      <c r="A58" s="77"/>
      <c r="B58" s="83" t="s">
        <v>263</v>
      </c>
      <c r="C58" s="84">
        <v>320</v>
      </c>
      <c r="D58" s="85">
        <f>C58/0.8</f>
        <v>400</v>
      </c>
      <c r="E58" s="86" t="s">
        <v>243</v>
      </c>
      <c r="F58" s="48" t="s">
        <v>184</v>
      </c>
      <c r="G58" s="50" t="s">
        <v>185</v>
      </c>
      <c r="H58" s="50" t="s">
        <v>186</v>
      </c>
      <c r="I58" s="50" t="s">
        <v>187</v>
      </c>
      <c r="J58" s="50" t="s">
        <v>188</v>
      </c>
      <c r="K58" s="50" t="s">
        <v>189</v>
      </c>
      <c r="L58" s="50" t="s">
        <v>190</v>
      </c>
      <c r="M58" s="50" t="s">
        <v>191</v>
      </c>
      <c r="N58" s="49" t="s">
        <v>192</v>
      </c>
      <c r="O58" s="49" t="s">
        <v>193</v>
      </c>
      <c r="P58" s="50" t="s">
        <v>194</v>
      </c>
      <c r="Q58" s="50" t="s">
        <v>195</v>
      </c>
      <c r="R58" s="50" t="s">
        <v>196</v>
      </c>
      <c r="S58" s="84" t="s">
        <v>235</v>
      </c>
      <c r="T58" s="77"/>
    </row>
    <row r="59" spans="1:20" ht="17.25" customHeight="1" x14ac:dyDescent="0.2">
      <c r="A59" s="77"/>
      <c r="B59" s="83"/>
      <c r="C59" s="84"/>
      <c r="D59" s="85"/>
      <c r="E59" s="86"/>
      <c r="F59" s="51" t="s">
        <v>198</v>
      </c>
      <c r="G59" s="50" t="s">
        <v>185</v>
      </c>
      <c r="H59" s="52" t="s">
        <v>186</v>
      </c>
      <c r="I59" s="52" t="s">
        <v>187</v>
      </c>
      <c r="J59" s="50" t="s">
        <v>188</v>
      </c>
      <c r="K59" s="50" t="s">
        <v>189</v>
      </c>
      <c r="L59" s="50" t="s">
        <v>190</v>
      </c>
      <c r="M59" s="50" t="s">
        <v>191</v>
      </c>
      <c r="N59" s="50" t="s">
        <v>192</v>
      </c>
      <c r="O59" s="50" t="s">
        <v>193</v>
      </c>
      <c r="P59" s="50" t="s">
        <v>194</v>
      </c>
      <c r="Q59" s="50" t="s">
        <v>195</v>
      </c>
      <c r="R59" s="50" t="s">
        <v>196</v>
      </c>
      <c r="S59" s="84"/>
      <c r="T59" s="77"/>
    </row>
    <row r="60" spans="1:20" ht="17.25" customHeight="1" x14ac:dyDescent="0.2">
      <c r="A60" s="78"/>
      <c r="B60" s="79" t="s">
        <v>264</v>
      </c>
      <c r="C60" s="78"/>
      <c r="D60" s="81">
        <f>C60/0.8</f>
        <v>0</v>
      </c>
      <c r="E60" s="82" t="s">
        <v>243</v>
      </c>
      <c r="F60" s="53" t="s">
        <v>184</v>
      </c>
      <c r="G60" s="54" t="s">
        <v>185</v>
      </c>
      <c r="H60" s="54" t="s">
        <v>186</v>
      </c>
      <c r="I60" s="54" t="s">
        <v>187</v>
      </c>
      <c r="J60" s="54" t="s">
        <v>188</v>
      </c>
      <c r="K60" s="54" t="s">
        <v>189</v>
      </c>
      <c r="L60" s="54" t="s">
        <v>190</v>
      </c>
      <c r="M60" s="55" t="s">
        <v>191</v>
      </c>
      <c r="N60" s="55" t="s">
        <v>192</v>
      </c>
      <c r="O60" s="54" t="s">
        <v>193</v>
      </c>
      <c r="P60" s="54" t="s">
        <v>194</v>
      </c>
      <c r="Q60" s="54" t="s">
        <v>195</v>
      </c>
      <c r="R60" s="54" t="s">
        <v>196</v>
      </c>
      <c r="S60" s="87" t="s">
        <v>213</v>
      </c>
      <c r="T60" s="78"/>
    </row>
    <row r="61" spans="1:20" ht="17.25" customHeight="1" x14ac:dyDescent="0.2">
      <c r="A61" s="78"/>
      <c r="B61" s="79"/>
      <c r="C61" s="78"/>
      <c r="D61" s="81"/>
      <c r="E61" s="82"/>
      <c r="F61" s="56" t="s">
        <v>198</v>
      </c>
      <c r="G61" s="57" t="s">
        <v>185</v>
      </c>
      <c r="H61" s="57" t="s">
        <v>186</v>
      </c>
      <c r="I61" s="54" t="s">
        <v>187</v>
      </c>
      <c r="J61" s="54" t="s">
        <v>188</v>
      </c>
      <c r="K61" s="54" t="s">
        <v>189</v>
      </c>
      <c r="L61" s="54" t="s">
        <v>190</v>
      </c>
      <c r="M61" s="54" t="s">
        <v>191</v>
      </c>
      <c r="N61" s="54" t="s">
        <v>192</v>
      </c>
      <c r="O61" s="54" t="s">
        <v>193</v>
      </c>
      <c r="P61" s="54" t="s">
        <v>194</v>
      </c>
      <c r="Q61" s="54" t="s">
        <v>195</v>
      </c>
      <c r="R61" s="54" t="s">
        <v>196</v>
      </c>
      <c r="S61" s="87"/>
      <c r="T61" s="78"/>
    </row>
    <row r="62" spans="1:20" ht="17.25" customHeight="1" x14ac:dyDescent="0.2">
      <c r="A62" s="77"/>
      <c r="B62" s="83" t="s">
        <v>265</v>
      </c>
      <c r="C62" s="77"/>
      <c r="D62" s="85">
        <f>C62/0.8</f>
        <v>0</v>
      </c>
      <c r="E62" s="86" t="s">
        <v>243</v>
      </c>
      <c r="F62" s="48" t="s">
        <v>184</v>
      </c>
      <c r="G62" s="50" t="s">
        <v>185</v>
      </c>
      <c r="H62" s="50" t="s">
        <v>186</v>
      </c>
      <c r="I62" s="50" t="s">
        <v>187</v>
      </c>
      <c r="J62" s="50" t="s">
        <v>188</v>
      </c>
      <c r="K62" s="50" t="s">
        <v>189</v>
      </c>
      <c r="L62" s="50" t="s">
        <v>190</v>
      </c>
      <c r="M62" s="49" t="s">
        <v>191</v>
      </c>
      <c r="N62" s="49" t="s">
        <v>192</v>
      </c>
      <c r="O62" s="50" t="s">
        <v>193</v>
      </c>
      <c r="P62" s="50" t="s">
        <v>194</v>
      </c>
      <c r="Q62" s="50" t="s">
        <v>195</v>
      </c>
      <c r="R62" s="50" t="s">
        <v>196</v>
      </c>
      <c r="S62" s="84" t="s">
        <v>197</v>
      </c>
      <c r="T62" s="77"/>
    </row>
    <row r="63" spans="1:20" ht="17.25" customHeight="1" x14ac:dyDescent="0.2">
      <c r="A63" s="77"/>
      <c r="B63" s="83"/>
      <c r="C63" s="77"/>
      <c r="D63" s="85"/>
      <c r="E63" s="86"/>
      <c r="F63" s="51" t="s">
        <v>198</v>
      </c>
      <c r="G63" s="52" t="s">
        <v>185</v>
      </c>
      <c r="H63" s="52" t="s">
        <v>186</v>
      </c>
      <c r="I63" s="50" t="s">
        <v>187</v>
      </c>
      <c r="J63" s="50" t="s">
        <v>188</v>
      </c>
      <c r="K63" s="50" t="s">
        <v>189</v>
      </c>
      <c r="L63" s="50" t="s">
        <v>190</v>
      </c>
      <c r="M63" s="50" t="s">
        <v>191</v>
      </c>
      <c r="N63" s="50" t="s">
        <v>192</v>
      </c>
      <c r="O63" s="50" t="s">
        <v>193</v>
      </c>
      <c r="P63" s="50" t="s">
        <v>194</v>
      </c>
      <c r="Q63" s="50" t="s">
        <v>195</v>
      </c>
      <c r="R63" s="50" t="s">
        <v>196</v>
      </c>
      <c r="S63" s="84"/>
      <c r="T63" s="77"/>
    </row>
    <row r="64" spans="1:20" ht="17.25" customHeight="1" x14ac:dyDescent="0.2">
      <c r="A64" s="78"/>
      <c r="B64" s="79" t="s">
        <v>266</v>
      </c>
      <c r="C64" s="80">
        <v>144</v>
      </c>
      <c r="D64" s="81">
        <f>C64/0.8</f>
        <v>180</v>
      </c>
      <c r="E64" s="82" t="s">
        <v>267</v>
      </c>
      <c r="F64" s="53" t="s">
        <v>184</v>
      </c>
      <c r="G64" s="54" t="s">
        <v>185</v>
      </c>
      <c r="H64" s="54" t="s">
        <v>186</v>
      </c>
      <c r="I64" s="54" t="s">
        <v>187</v>
      </c>
      <c r="J64" s="54" t="s">
        <v>188</v>
      </c>
      <c r="K64" s="54" t="s">
        <v>189</v>
      </c>
      <c r="L64" s="54" t="s">
        <v>190</v>
      </c>
      <c r="M64" s="54" t="s">
        <v>191</v>
      </c>
      <c r="N64" s="54" t="s">
        <v>192</v>
      </c>
      <c r="O64" s="55" t="s">
        <v>193</v>
      </c>
      <c r="P64" s="55" t="s">
        <v>194</v>
      </c>
      <c r="Q64" s="54" t="s">
        <v>195</v>
      </c>
      <c r="R64" s="54" t="s">
        <v>196</v>
      </c>
      <c r="S64" s="80" t="s">
        <v>228</v>
      </c>
      <c r="T64" s="78"/>
    </row>
    <row r="65" spans="1:20" ht="17.25" customHeight="1" x14ac:dyDescent="0.2">
      <c r="A65" s="78"/>
      <c r="B65" s="79"/>
      <c r="C65" s="80"/>
      <c r="D65" s="81"/>
      <c r="E65" s="82"/>
      <c r="F65" s="56" t="s">
        <v>198</v>
      </c>
      <c r="G65" s="54" t="s">
        <v>185</v>
      </c>
      <c r="H65" s="54" t="s">
        <v>186</v>
      </c>
      <c r="I65" s="57" t="s">
        <v>187</v>
      </c>
      <c r="J65" s="57" t="s">
        <v>188</v>
      </c>
      <c r="K65" s="54" t="s">
        <v>189</v>
      </c>
      <c r="L65" s="54" t="s">
        <v>190</v>
      </c>
      <c r="M65" s="54" t="s">
        <v>191</v>
      </c>
      <c r="N65" s="54" t="s">
        <v>192</v>
      </c>
      <c r="O65" s="54" t="s">
        <v>193</v>
      </c>
      <c r="P65" s="54" t="s">
        <v>194</v>
      </c>
      <c r="Q65" s="54" t="s">
        <v>195</v>
      </c>
      <c r="R65" s="54" t="s">
        <v>196</v>
      </c>
      <c r="S65" s="80"/>
      <c r="T65" s="78"/>
    </row>
    <row r="66" spans="1:20" ht="17.25" customHeight="1" x14ac:dyDescent="0.2">
      <c r="A66" s="77"/>
      <c r="B66" s="83" t="s">
        <v>268</v>
      </c>
      <c r="C66" s="84">
        <v>184</v>
      </c>
      <c r="D66" s="85">
        <f>C66/0.8</f>
        <v>230</v>
      </c>
      <c r="E66" s="86" t="s">
        <v>267</v>
      </c>
      <c r="F66" s="48" t="s">
        <v>184</v>
      </c>
      <c r="G66" s="50" t="s">
        <v>185</v>
      </c>
      <c r="H66" s="50" t="s">
        <v>186</v>
      </c>
      <c r="I66" s="50" t="s">
        <v>187</v>
      </c>
      <c r="J66" s="49" t="s">
        <v>188</v>
      </c>
      <c r="K66" s="49" t="s">
        <v>189</v>
      </c>
      <c r="L66" s="49" t="s">
        <v>190</v>
      </c>
      <c r="M66" s="49" t="s">
        <v>191</v>
      </c>
      <c r="N66" s="49" t="s">
        <v>192</v>
      </c>
      <c r="O66" s="49" t="s">
        <v>193</v>
      </c>
      <c r="P66" s="49" t="s">
        <v>194</v>
      </c>
      <c r="Q66" s="50" t="s">
        <v>195</v>
      </c>
      <c r="R66" s="50" t="s">
        <v>196</v>
      </c>
      <c r="S66" s="84" t="s">
        <v>235</v>
      </c>
      <c r="T66" s="77"/>
    </row>
    <row r="67" spans="1:20" ht="17.25" customHeight="1" x14ac:dyDescent="0.2">
      <c r="A67" s="77"/>
      <c r="B67" s="83"/>
      <c r="C67" s="84"/>
      <c r="D67" s="85"/>
      <c r="E67" s="86"/>
      <c r="F67" s="51" t="s">
        <v>198</v>
      </c>
      <c r="G67" s="52" t="s">
        <v>185</v>
      </c>
      <c r="H67" s="52" t="s">
        <v>186</v>
      </c>
      <c r="I67" s="52" t="s">
        <v>187</v>
      </c>
      <c r="J67" s="52" t="s">
        <v>188</v>
      </c>
      <c r="K67" s="50" t="s">
        <v>189</v>
      </c>
      <c r="L67" s="50" t="s">
        <v>190</v>
      </c>
      <c r="M67" s="50" t="s">
        <v>191</v>
      </c>
      <c r="N67" s="50" t="s">
        <v>192</v>
      </c>
      <c r="O67" s="50" t="s">
        <v>193</v>
      </c>
      <c r="P67" s="52" t="s">
        <v>194</v>
      </c>
      <c r="Q67" s="52" t="s">
        <v>195</v>
      </c>
      <c r="R67" s="52" t="s">
        <v>196</v>
      </c>
      <c r="S67" s="84"/>
      <c r="T67" s="77"/>
    </row>
    <row r="68" spans="1:20" ht="17.25" customHeight="1" x14ac:dyDescent="0.2">
      <c r="A68" s="78"/>
      <c r="B68" s="79" t="s">
        <v>269</v>
      </c>
      <c r="C68" s="80">
        <v>3600</v>
      </c>
      <c r="D68" s="81">
        <f>C68/0.8</f>
        <v>4500</v>
      </c>
      <c r="E68" s="82" t="s">
        <v>267</v>
      </c>
      <c r="F68" s="53" t="s">
        <v>184</v>
      </c>
      <c r="G68" s="54" t="s">
        <v>185</v>
      </c>
      <c r="H68" s="54" t="s">
        <v>186</v>
      </c>
      <c r="I68" s="54" t="s">
        <v>187</v>
      </c>
      <c r="J68" s="54" t="s">
        <v>188</v>
      </c>
      <c r="K68" s="55" t="s">
        <v>189</v>
      </c>
      <c r="L68" s="55" t="s">
        <v>190</v>
      </c>
      <c r="M68" s="55" t="s">
        <v>191</v>
      </c>
      <c r="N68" s="55" t="s">
        <v>192</v>
      </c>
      <c r="O68" s="55" t="s">
        <v>193</v>
      </c>
      <c r="P68" s="55" t="s">
        <v>194</v>
      </c>
      <c r="Q68" s="54" t="s">
        <v>195</v>
      </c>
      <c r="R68" s="54" t="s">
        <v>196</v>
      </c>
      <c r="S68" s="80" t="s">
        <v>235</v>
      </c>
      <c r="T68" s="78"/>
    </row>
    <row r="69" spans="1:20" ht="17.25" customHeight="1" x14ac:dyDescent="0.2">
      <c r="A69" s="78"/>
      <c r="B69" s="79"/>
      <c r="C69" s="80"/>
      <c r="D69" s="81"/>
      <c r="E69" s="82"/>
      <c r="F69" s="56" t="s">
        <v>198</v>
      </c>
      <c r="G69" s="57" t="s">
        <v>185</v>
      </c>
      <c r="H69" s="57" t="s">
        <v>186</v>
      </c>
      <c r="I69" s="57" t="s">
        <v>187</v>
      </c>
      <c r="J69" s="57" t="s">
        <v>188</v>
      </c>
      <c r="K69" s="54" t="s">
        <v>189</v>
      </c>
      <c r="L69" s="54" t="s">
        <v>190</v>
      </c>
      <c r="M69" s="54" t="s">
        <v>191</v>
      </c>
      <c r="N69" s="54" t="s">
        <v>192</v>
      </c>
      <c r="O69" s="54" t="s">
        <v>193</v>
      </c>
      <c r="P69" s="54" t="s">
        <v>194</v>
      </c>
      <c r="Q69" s="57" t="s">
        <v>195</v>
      </c>
      <c r="R69" s="57" t="s">
        <v>196</v>
      </c>
      <c r="S69" s="80"/>
      <c r="T69" s="78"/>
    </row>
    <row r="70" spans="1:20" ht="17.25" customHeight="1" x14ac:dyDescent="0.2">
      <c r="A70" s="77"/>
      <c r="B70" s="83" t="s">
        <v>270</v>
      </c>
      <c r="C70" s="77"/>
      <c r="D70" s="85">
        <f>C70/0.8</f>
        <v>0</v>
      </c>
      <c r="E70" s="86" t="s">
        <v>267</v>
      </c>
      <c r="F70" s="48" t="s">
        <v>184</v>
      </c>
      <c r="G70" s="49" t="s">
        <v>185</v>
      </c>
      <c r="H70" s="49" t="s">
        <v>186</v>
      </c>
      <c r="I70" s="50" t="s">
        <v>187</v>
      </c>
      <c r="J70" s="50" t="s">
        <v>188</v>
      </c>
      <c r="K70" s="50" t="s">
        <v>189</v>
      </c>
      <c r="L70" s="50" t="s">
        <v>190</v>
      </c>
      <c r="M70" s="50" t="s">
        <v>191</v>
      </c>
      <c r="N70" s="50" t="s">
        <v>192</v>
      </c>
      <c r="O70" s="50" t="s">
        <v>193</v>
      </c>
      <c r="P70" s="50" t="s">
        <v>194</v>
      </c>
      <c r="Q70" s="49" t="s">
        <v>195</v>
      </c>
      <c r="R70" s="49" t="s">
        <v>196</v>
      </c>
      <c r="S70" s="84" t="s">
        <v>197</v>
      </c>
      <c r="T70" s="77"/>
    </row>
    <row r="71" spans="1:20" ht="17.25" customHeight="1" x14ac:dyDescent="0.2">
      <c r="A71" s="77"/>
      <c r="B71" s="83"/>
      <c r="C71" s="77"/>
      <c r="D71" s="85"/>
      <c r="E71" s="86"/>
      <c r="F71" s="51" t="s">
        <v>198</v>
      </c>
      <c r="G71" s="50" t="s">
        <v>185</v>
      </c>
      <c r="H71" s="50" t="s">
        <v>186</v>
      </c>
      <c r="I71" s="50" t="s">
        <v>187</v>
      </c>
      <c r="J71" s="50" t="s">
        <v>188</v>
      </c>
      <c r="K71" s="52" t="s">
        <v>189</v>
      </c>
      <c r="L71" s="52" t="s">
        <v>190</v>
      </c>
      <c r="M71" s="52" t="s">
        <v>191</v>
      </c>
      <c r="N71" s="52" t="s">
        <v>192</v>
      </c>
      <c r="O71" s="50" t="s">
        <v>193</v>
      </c>
      <c r="P71" s="50" t="s">
        <v>194</v>
      </c>
      <c r="Q71" s="50" t="s">
        <v>195</v>
      </c>
      <c r="R71" s="50" t="s">
        <v>196</v>
      </c>
      <c r="S71" s="84"/>
      <c r="T71" s="77"/>
    </row>
    <row r="72" spans="1:20" ht="17.25" customHeight="1" x14ac:dyDescent="0.2">
      <c r="A72" s="78"/>
      <c r="B72" s="79" t="s">
        <v>271</v>
      </c>
      <c r="C72" s="78"/>
      <c r="D72" s="81">
        <f>C72/0.8</f>
        <v>0</v>
      </c>
      <c r="E72" s="82" t="s">
        <v>272</v>
      </c>
      <c r="F72" s="53" t="s">
        <v>184</v>
      </c>
      <c r="G72" s="54" t="s">
        <v>185</v>
      </c>
      <c r="H72" s="54" t="s">
        <v>186</v>
      </c>
      <c r="I72" s="54" t="s">
        <v>187</v>
      </c>
      <c r="J72" s="54" t="s">
        <v>188</v>
      </c>
      <c r="K72" s="54" t="s">
        <v>189</v>
      </c>
      <c r="L72" s="55" t="s">
        <v>190</v>
      </c>
      <c r="M72" s="54" t="s">
        <v>191</v>
      </c>
      <c r="N72" s="54" t="s">
        <v>192</v>
      </c>
      <c r="O72" s="54" t="s">
        <v>193</v>
      </c>
      <c r="P72" s="54" t="s">
        <v>194</v>
      </c>
      <c r="Q72" s="54" t="s">
        <v>195</v>
      </c>
      <c r="R72" s="54" t="s">
        <v>196</v>
      </c>
      <c r="S72" s="80" t="s">
        <v>213</v>
      </c>
      <c r="T72" s="78"/>
    </row>
    <row r="73" spans="1:20" ht="17.25" customHeight="1" x14ac:dyDescent="0.2">
      <c r="A73" s="78"/>
      <c r="B73" s="79"/>
      <c r="C73" s="78"/>
      <c r="D73" s="81"/>
      <c r="E73" s="82"/>
      <c r="F73" s="56" t="s">
        <v>198</v>
      </c>
      <c r="G73" s="54" t="s">
        <v>185</v>
      </c>
      <c r="H73" s="54" t="s">
        <v>186</v>
      </c>
      <c r="I73" s="54" t="s">
        <v>187</v>
      </c>
      <c r="J73" s="54" t="s">
        <v>188</v>
      </c>
      <c r="K73" s="54" t="s">
        <v>189</v>
      </c>
      <c r="L73" s="54" t="s">
        <v>190</v>
      </c>
      <c r="M73" s="54" t="s">
        <v>191</v>
      </c>
      <c r="N73" s="54" t="s">
        <v>192</v>
      </c>
      <c r="O73" s="54" t="s">
        <v>193</v>
      </c>
      <c r="P73" s="54" t="s">
        <v>194</v>
      </c>
      <c r="Q73" s="54" t="s">
        <v>195</v>
      </c>
      <c r="R73" s="57" t="s">
        <v>196</v>
      </c>
      <c r="S73" s="80"/>
      <c r="T73" s="78"/>
    </row>
    <row r="74" spans="1:20" ht="17.25" customHeight="1" x14ac:dyDescent="0.2">
      <c r="A74" s="77"/>
      <c r="B74" s="83" t="s">
        <v>273</v>
      </c>
      <c r="C74" s="84">
        <v>400</v>
      </c>
      <c r="D74" s="85">
        <f>C74/0.8</f>
        <v>500</v>
      </c>
      <c r="E74" s="86" t="s">
        <v>274</v>
      </c>
      <c r="F74" s="48" t="s">
        <v>184</v>
      </c>
      <c r="G74" s="49" t="s">
        <v>185</v>
      </c>
      <c r="H74" s="49" t="s">
        <v>186</v>
      </c>
      <c r="I74" s="49" t="s">
        <v>187</v>
      </c>
      <c r="J74" s="49" t="s">
        <v>188</v>
      </c>
      <c r="K74" s="49" t="s">
        <v>189</v>
      </c>
      <c r="L74" s="50" t="s">
        <v>190</v>
      </c>
      <c r="M74" s="50" t="s">
        <v>191</v>
      </c>
      <c r="N74" s="50" t="s">
        <v>192</v>
      </c>
      <c r="O74" s="50" t="s">
        <v>193</v>
      </c>
      <c r="P74" s="50" t="s">
        <v>194</v>
      </c>
      <c r="Q74" s="49" t="s">
        <v>195</v>
      </c>
      <c r="R74" s="49" t="s">
        <v>196</v>
      </c>
      <c r="S74" s="84" t="s">
        <v>197</v>
      </c>
      <c r="T74" s="77"/>
    </row>
    <row r="75" spans="1:20" ht="17.25" customHeight="1" x14ac:dyDescent="0.2">
      <c r="A75" s="77"/>
      <c r="B75" s="83"/>
      <c r="C75" s="84"/>
      <c r="D75" s="85"/>
      <c r="E75" s="86"/>
      <c r="F75" s="51" t="s">
        <v>198</v>
      </c>
      <c r="G75" s="50" t="s">
        <v>185</v>
      </c>
      <c r="H75" s="50" t="s">
        <v>186</v>
      </c>
      <c r="I75" s="50" t="s">
        <v>187</v>
      </c>
      <c r="J75" s="50" t="s">
        <v>188</v>
      </c>
      <c r="K75" s="52" t="s">
        <v>189</v>
      </c>
      <c r="L75" s="52" t="s">
        <v>190</v>
      </c>
      <c r="M75" s="52" t="s">
        <v>191</v>
      </c>
      <c r="N75" s="52" t="s">
        <v>192</v>
      </c>
      <c r="O75" s="52" t="s">
        <v>193</v>
      </c>
      <c r="P75" s="52" t="s">
        <v>194</v>
      </c>
      <c r="Q75" s="52" t="s">
        <v>195</v>
      </c>
      <c r="R75" s="50" t="s">
        <v>196</v>
      </c>
      <c r="S75" s="84"/>
      <c r="T75" s="77"/>
    </row>
    <row r="76" spans="1:20" ht="17.25" customHeight="1" x14ac:dyDescent="0.2">
      <c r="A76" s="78"/>
      <c r="B76" s="79" t="s">
        <v>275</v>
      </c>
      <c r="C76" s="80">
        <v>104</v>
      </c>
      <c r="D76" s="81">
        <f>C76/0.8</f>
        <v>130</v>
      </c>
      <c r="E76" s="82" t="s">
        <v>276</v>
      </c>
      <c r="F76" s="53" t="s">
        <v>184</v>
      </c>
      <c r="G76" s="54" t="s">
        <v>185</v>
      </c>
      <c r="H76" s="54" t="s">
        <v>186</v>
      </c>
      <c r="I76" s="54" t="s">
        <v>187</v>
      </c>
      <c r="J76" s="54" t="s">
        <v>188</v>
      </c>
      <c r="K76" s="55" t="s">
        <v>189</v>
      </c>
      <c r="L76" s="55" t="s">
        <v>190</v>
      </c>
      <c r="M76" s="55" t="s">
        <v>191</v>
      </c>
      <c r="N76" s="55" t="s">
        <v>192</v>
      </c>
      <c r="O76" s="55" t="s">
        <v>193</v>
      </c>
      <c r="P76" s="54" t="s">
        <v>194</v>
      </c>
      <c r="Q76" s="54" t="s">
        <v>195</v>
      </c>
      <c r="R76" s="54" t="s">
        <v>196</v>
      </c>
      <c r="S76" s="80" t="s">
        <v>228</v>
      </c>
      <c r="T76" s="78"/>
    </row>
    <row r="77" spans="1:20" ht="17.25" customHeight="1" x14ac:dyDescent="0.2">
      <c r="A77" s="78"/>
      <c r="B77" s="79"/>
      <c r="C77" s="80"/>
      <c r="D77" s="81"/>
      <c r="E77" s="82"/>
      <c r="F77" s="56" t="s">
        <v>198</v>
      </c>
      <c r="G77" s="57" t="s">
        <v>185</v>
      </c>
      <c r="H77" s="57" t="s">
        <v>186</v>
      </c>
      <c r="I77" s="57" t="s">
        <v>187</v>
      </c>
      <c r="J77" s="54" t="s">
        <v>188</v>
      </c>
      <c r="K77" s="54" t="s">
        <v>189</v>
      </c>
      <c r="L77" s="54" t="s">
        <v>190</v>
      </c>
      <c r="M77" s="54" t="s">
        <v>191</v>
      </c>
      <c r="N77" s="54" t="s">
        <v>192</v>
      </c>
      <c r="O77" s="54" t="s">
        <v>193</v>
      </c>
      <c r="P77" s="54" t="s">
        <v>194</v>
      </c>
      <c r="Q77" s="57" t="s">
        <v>195</v>
      </c>
      <c r="R77" s="57" t="s">
        <v>196</v>
      </c>
      <c r="S77" s="80"/>
      <c r="T77" s="78"/>
    </row>
    <row r="78" spans="1:20" ht="17.25" customHeight="1" x14ac:dyDescent="0.2">
      <c r="A78" s="77"/>
      <c r="B78" s="83" t="s">
        <v>277</v>
      </c>
      <c r="C78" s="84">
        <v>640</v>
      </c>
      <c r="D78" s="85">
        <f>C78/0.8</f>
        <v>800</v>
      </c>
      <c r="E78" s="86" t="s">
        <v>278</v>
      </c>
      <c r="F78" s="48" t="s">
        <v>184</v>
      </c>
      <c r="G78" s="50" t="s">
        <v>185</v>
      </c>
      <c r="H78" s="50" t="s">
        <v>186</v>
      </c>
      <c r="I78" s="50" t="s">
        <v>187</v>
      </c>
      <c r="J78" s="50" t="s">
        <v>188</v>
      </c>
      <c r="K78" s="49" t="s">
        <v>189</v>
      </c>
      <c r="L78" s="49" t="s">
        <v>190</v>
      </c>
      <c r="M78" s="49" t="s">
        <v>191</v>
      </c>
      <c r="N78" s="49" t="s">
        <v>192</v>
      </c>
      <c r="O78" s="49" t="s">
        <v>193</v>
      </c>
      <c r="P78" s="50" t="s">
        <v>194</v>
      </c>
      <c r="Q78" s="50" t="s">
        <v>195</v>
      </c>
      <c r="R78" s="50" t="s">
        <v>196</v>
      </c>
      <c r="S78" s="84" t="s">
        <v>228</v>
      </c>
      <c r="T78" s="77"/>
    </row>
    <row r="79" spans="1:20" ht="17.25" customHeight="1" x14ac:dyDescent="0.2">
      <c r="A79" s="77"/>
      <c r="B79" s="83"/>
      <c r="C79" s="84"/>
      <c r="D79" s="85"/>
      <c r="E79" s="86"/>
      <c r="F79" s="51" t="s">
        <v>198</v>
      </c>
      <c r="G79" s="52" t="s">
        <v>185</v>
      </c>
      <c r="H79" s="52" t="s">
        <v>186</v>
      </c>
      <c r="I79" s="52" t="s">
        <v>187</v>
      </c>
      <c r="J79" s="50" t="s">
        <v>188</v>
      </c>
      <c r="K79" s="50" t="s">
        <v>189</v>
      </c>
      <c r="L79" s="50" t="s">
        <v>190</v>
      </c>
      <c r="M79" s="50" t="s">
        <v>191</v>
      </c>
      <c r="N79" s="50" t="s">
        <v>192</v>
      </c>
      <c r="O79" s="50" t="s">
        <v>193</v>
      </c>
      <c r="P79" s="50" t="s">
        <v>194</v>
      </c>
      <c r="Q79" s="52" t="s">
        <v>195</v>
      </c>
      <c r="R79" s="52" t="s">
        <v>196</v>
      </c>
      <c r="S79" s="84"/>
      <c r="T79" s="77"/>
    </row>
    <row r="80" spans="1:20" ht="17.25" customHeight="1" x14ac:dyDescent="0.2">
      <c r="A80" s="78"/>
      <c r="B80" s="79" t="s">
        <v>279</v>
      </c>
      <c r="C80" s="80">
        <v>1600</v>
      </c>
      <c r="D80" s="81">
        <f>C80/0.8</f>
        <v>2000</v>
      </c>
      <c r="E80" s="82" t="s">
        <v>278</v>
      </c>
      <c r="F80" s="53" t="s">
        <v>184</v>
      </c>
      <c r="G80" s="54" t="s">
        <v>185</v>
      </c>
      <c r="H80" s="54" t="s">
        <v>186</v>
      </c>
      <c r="I80" s="54" t="s">
        <v>187</v>
      </c>
      <c r="J80" s="55" t="s">
        <v>188</v>
      </c>
      <c r="K80" s="55" t="s">
        <v>189</v>
      </c>
      <c r="L80" s="55" t="s">
        <v>190</v>
      </c>
      <c r="M80" s="55" t="s">
        <v>191</v>
      </c>
      <c r="N80" s="55" t="s">
        <v>192</v>
      </c>
      <c r="O80" s="55" t="s">
        <v>193</v>
      </c>
      <c r="P80" s="54" t="s">
        <v>194</v>
      </c>
      <c r="Q80" s="54" t="s">
        <v>195</v>
      </c>
      <c r="R80" s="54" t="s">
        <v>196</v>
      </c>
      <c r="S80" s="80" t="s">
        <v>233</v>
      </c>
      <c r="T80" s="78"/>
    </row>
    <row r="81" spans="1:20" ht="17.25" customHeight="1" x14ac:dyDescent="0.2">
      <c r="A81" s="78"/>
      <c r="B81" s="79"/>
      <c r="C81" s="80"/>
      <c r="D81" s="81"/>
      <c r="E81" s="82"/>
      <c r="F81" s="56" t="s">
        <v>198</v>
      </c>
      <c r="G81" s="57" t="s">
        <v>185</v>
      </c>
      <c r="H81" s="57" t="s">
        <v>186</v>
      </c>
      <c r="I81" s="57" t="s">
        <v>187</v>
      </c>
      <c r="J81" s="54" t="s">
        <v>188</v>
      </c>
      <c r="K81" s="54" t="s">
        <v>189</v>
      </c>
      <c r="L81" s="54" t="s">
        <v>190</v>
      </c>
      <c r="M81" s="54" t="s">
        <v>191</v>
      </c>
      <c r="N81" s="54" t="s">
        <v>192</v>
      </c>
      <c r="O81" s="54" t="s">
        <v>193</v>
      </c>
      <c r="P81" s="57" t="s">
        <v>194</v>
      </c>
      <c r="Q81" s="57" t="s">
        <v>195</v>
      </c>
      <c r="R81" s="57" t="s">
        <v>196</v>
      </c>
      <c r="S81" s="80"/>
      <c r="T81" s="78"/>
    </row>
    <row r="82" spans="1:20" ht="17.25" customHeight="1" x14ac:dyDescent="0.2">
      <c r="A82" s="77"/>
      <c r="B82" s="83" t="s">
        <v>280</v>
      </c>
      <c r="C82" s="84">
        <v>96</v>
      </c>
      <c r="D82" s="85">
        <f>C82/0.8</f>
        <v>120</v>
      </c>
      <c r="E82" s="86" t="s">
        <v>254</v>
      </c>
      <c r="F82" s="48" t="s">
        <v>184</v>
      </c>
      <c r="G82" s="50" t="s">
        <v>185</v>
      </c>
      <c r="H82" s="50" t="s">
        <v>186</v>
      </c>
      <c r="I82" s="49" t="s">
        <v>187</v>
      </c>
      <c r="J82" s="49" t="s">
        <v>188</v>
      </c>
      <c r="K82" s="49" t="s">
        <v>189</v>
      </c>
      <c r="L82" s="49" t="s">
        <v>190</v>
      </c>
      <c r="M82" s="49" t="s">
        <v>191</v>
      </c>
      <c r="N82" s="49" t="s">
        <v>192</v>
      </c>
      <c r="O82" s="49" t="s">
        <v>193</v>
      </c>
      <c r="P82" s="49" t="s">
        <v>194</v>
      </c>
      <c r="Q82" s="50" t="s">
        <v>195</v>
      </c>
      <c r="R82" s="50" t="s">
        <v>196</v>
      </c>
      <c r="S82" s="84" t="s">
        <v>197</v>
      </c>
      <c r="T82" s="77"/>
    </row>
    <row r="83" spans="1:20" ht="17.25" customHeight="1" x14ac:dyDescent="0.2">
      <c r="A83" s="77"/>
      <c r="B83" s="83"/>
      <c r="C83" s="84"/>
      <c r="D83" s="85"/>
      <c r="E83" s="86"/>
      <c r="F83" s="51" t="s">
        <v>198</v>
      </c>
      <c r="G83" s="52" t="s">
        <v>185</v>
      </c>
      <c r="H83" s="52" t="s">
        <v>186</v>
      </c>
      <c r="I83" s="52" t="s">
        <v>187</v>
      </c>
      <c r="J83" s="52" t="s">
        <v>188</v>
      </c>
      <c r="K83" s="50" t="s">
        <v>189</v>
      </c>
      <c r="L83" s="50" t="s">
        <v>190</v>
      </c>
      <c r="M83" s="50" t="s">
        <v>191</v>
      </c>
      <c r="N83" s="50" t="s">
        <v>192</v>
      </c>
      <c r="O83" s="52" t="s">
        <v>193</v>
      </c>
      <c r="P83" s="52" t="s">
        <v>194</v>
      </c>
      <c r="Q83" s="52" t="s">
        <v>195</v>
      </c>
      <c r="R83" s="52" t="s">
        <v>196</v>
      </c>
      <c r="S83" s="84"/>
      <c r="T83" s="77"/>
    </row>
    <row r="84" spans="1:20" ht="17.25" customHeight="1" x14ac:dyDescent="0.2">
      <c r="A84" s="78"/>
      <c r="B84" s="79" t="s">
        <v>281</v>
      </c>
      <c r="C84" s="80">
        <v>800</v>
      </c>
      <c r="D84" s="81">
        <f>C84/0.8</f>
        <v>1000</v>
      </c>
      <c r="E84" s="82" t="s">
        <v>254</v>
      </c>
      <c r="F84" s="53" t="s">
        <v>184</v>
      </c>
      <c r="G84" s="54" t="s">
        <v>185</v>
      </c>
      <c r="H84" s="54" t="s">
        <v>186</v>
      </c>
      <c r="I84" s="55" t="s">
        <v>187</v>
      </c>
      <c r="J84" s="55" t="s">
        <v>188</v>
      </c>
      <c r="K84" s="55" t="s">
        <v>189</v>
      </c>
      <c r="L84" s="55" t="s">
        <v>190</v>
      </c>
      <c r="M84" s="55" t="s">
        <v>191</v>
      </c>
      <c r="N84" s="55" t="s">
        <v>192</v>
      </c>
      <c r="O84" s="55" t="s">
        <v>193</v>
      </c>
      <c r="P84" s="55" t="s">
        <v>194</v>
      </c>
      <c r="Q84" s="54" t="s">
        <v>195</v>
      </c>
      <c r="R84" s="54" t="s">
        <v>196</v>
      </c>
      <c r="S84" s="80" t="s">
        <v>233</v>
      </c>
      <c r="T84" s="78"/>
    </row>
    <row r="85" spans="1:20" ht="17.25" customHeight="1" x14ac:dyDescent="0.2">
      <c r="A85" s="78"/>
      <c r="B85" s="79"/>
      <c r="C85" s="80"/>
      <c r="D85" s="81"/>
      <c r="E85" s="82"/>
      <c r="F85" s="56" t="s">
        <v>198</v>
      </c>
      <c r="G85" s="57" t="s">
        <v>185</v>
      </c>
      <c r="H85" s="57" t="s">
        <v>186</v>
      </c>
      <c r="I85" s="57" t="s">
        <v>187</v>
      </c>
      <c r="J85" s="57" t="s">
        <v>188</v>
      </c>
      <c r="K85" s="54" t="s">
        <v>189</v>
      </c>
      <c r="L85" s="54" t="s">
        <v>190</v>
      </c>
      <c r="M85" s="54" t="s">
        <v>191</v>
      </c>
      <c r="N85" s="54" t="s">
        <v>192</v>
      </c>
      <c r="O85" s="57" t="s">
        <v>193</v>
      </c>
      <c r="P85" s="57" t="s">
        <v>194</v>
      </c>
      <c r="Q85" s="57" t="s">
        <v>195</v>
      </c>
      <c r="R85" s="57" t="s">
        <v>196</v>
      </c>
      <c r="S85" s="80"/>
      <c r="T85" s="78"/>
    </row>
    <row r="86" spans="1:20" ht="17.25" customHeight="1" x14ac:dyDescent="0.2">
      <c r="A86" s="77"/>
      <c r="B86" s="83" t="s">
        <v>282</v>
      </c>
      <c r="C86" s="84">
        <v>160</v>
      </c>
      <c r="D86" s="85">
        <f>C86/0.8</f>
        <v>200</v>
      </c>
      <c r="E86" s="86" t="s">
        <v>254</v>
      </c>
      <c r="F86" s="48" t="s">
        <v>184</v>
      </c>
      <c r="G86" s="50" t="s">
        <v>185</v>
      </c>
      <c r="H86" s="50" t="s">
        <v>186</v>
      </c>
      <c r="I86" s="49" t="s">
        <v>187</v>
      </c>
      <c r="J86" s="49" t="s">
        <v>188</v>
      </c>
      <c r="K86" s="49" t="s">
        <v>189</v>
      </c>
      <c r="L86" s="49" t="s">
        <v>190</v>
      </c>
      <c r="M86" s="50" t="s">
        <v>191</v>
      </c>
      <c r="N86" s="50" t="s">
        <v>192</v>
      </c>
      <c r="O86" s="50" t="s">
        <v>193</v>
      </c>
      <c r="P86" s="49" t="s">
        <v>194</v>
      </c>
      <c r="Q86" s="50" t="s">
        <v>195</v>
      </c>
      <c r="R86" s="50" t="s">
        <v>196</v>
      </c>
      <c r="S86" s="84" t="s">
        <v>235</v>
      </c>
      <c r="T86" s="77"/>
    </row>
    <row r="87" spans="1:20" ht="17.25" customHeight="1" x14ac:dyDescent="0.2">
      <c r="A87" s="77"/>
      <c r="B87" s="83"/>
      <c r="C87" s="84"/>
      <c r="D87" s="85"/>
      <c r="E87" s="86"/>
      <c r="F87" s="51" t="s">
        <v>198</v>
      </c>
      <c r="G87" s="50" t="s">
        <v>185</v>
      </c>
      <c r="H87" s="50" t="s">
        <v>186</v>
      </c>
      <c r="I87" s="50" t="s">
        <v>187</v>
      </c>
      <c r="J87" s="52" t="s">
        <v>188</v>
      </c>
      <c r="K87" s="50" t="s">
        <v>189</v>
      </c>
      <c r="L87" s="50" t="s">
        <v>190</v>
      </c>
      <c r="M87" s="50" t="s">
        <v>191</v>
      </c>
      <c r="N87" s="50" t="s">
        <v>192</v>
      </c>
      <c r="O87" s="52" t="s">
        <v>193</v>
      </c>
      <c r="P87" s="52" t="s">
        <v>194</v>
      </c>
      <c r="Q87" s="52" t="s">
        <v>195</v>
      </c>
      <c r="R87" s="52" t="s">
        <v>196</v>
      </c>
      <c r="S87" s="84"/>
      <c r="T87" s="77"/>
    </row>
    <row r="88" spans="1:20" ht="17.25" customHeight="1" x14ac:dyDescent="0.2">
      <c r="A88" s="78"/>
      <c r="B88" s="79" t="s">
        <v>283</v>
      </c>
      <c r="C88" s="80">
        <v>1200</v>
      </c>
      <c r="D88" s="81">
        <f>C88/0.8</f>
        <v>1500</v>
      </c>
      <c r="E88" s="82" t="s">
        <v>284</v>
      </c>
      <c r="F88" s="53" t="s">
        <v>184</v>
      </c>
      <c r="G88" s="54" t="s">
        <v>185</v>
      </c>
      <c r="H88" s="55" t="s">
        <v>186</v>
      </c>
      <c r="I88" s="55" t="s">
        <v>187</v>
      </c>
      <c r="J88" s="55" t="s">
        <v>188</v>
      </c>
      <c r="K88" s="55" t="s">
        <v>189</v>
      </c>
      <c r="L88" s="55" t="s">
        <v>190</v>
      </c>
      <c r="M88" s="55" t="s">
        <v>191</v>
      </c>
      <c r="N88" s="55" t="s">
        <v>192</v>
      </c>
      <c r="O88" s="55" t="s">
        <v>193</v>
      </c>
      <c r="P88" s="55" t="s">
        <v>194</v>
      </c>
      <c r="Q88" s="54" t="s">
        <v>195</v>
      </c>
      <c r="R88" s="54" t="s">
        <v>196</v>
      </c>
      <c r="S88" s="80" t="s">
        <v>197</v>
      </c>
      <c r="T88" s="78"/>
    </row>
    <row r="89" spans="1:20" ht="17.25" customHeight="1" x14ac:dyDescent="0.2">
      <c r="A89" s="78"/>
      <c r="B89" s="79"/>
      <c r="C89" s="80"/>
      <c r="D89" s="81"/>
      <c r="E89" s="82"/>
      <c r="F89" s="56" t="s">
        <v>198</v>
      </c>
      <c r="G89" s="57" t="s">
        <v>185</v>
      </c>
      <c r="H89" s="57" t="s">
        <v>186</v>
      </c>
      <c r="I89" s="57" t="s">
        <v>187</v>
      </c>
      <c r="J89" s="57" t="s">
        <v>188</v>
      </c>
      <c r="K89" s="54" t="s">
        <v>189</v>
      </c>
      <c r="L89" s="54" t="s">
        <v>190</v>
      </c>
      <c r="M89" s="54" t="s">
        <v>191</v>
      </c>
      <c r="N89" s="57" t="s">
        <v>192</v>
      </c>
      <c r="O89" s="57" t="s">
        <v>193</v>
      </c>
      <c r="P89" s="57" t="s">
        <v>194</v>
      </c>
      <c r="Q89" s="57" t="s">
        <v>195</v>
      </c>
      <c r="R89" s="57" t="s">
        <v>196</v>
      </c>
      <c r="S89" s="80"/>
      <c r="T89" s="78"/>
    </row>
    <row r="90" spans="1:20" ht="17.25" customHeight="1" x14ac:dyDescent="0.2">
      <c r="A90" s="77"/>
      <c r="B90" s="83" t="s">
        <v>285</v>
      </c>
      <c r="C90" s="84">
        <v>1920</v>
      </c>
      <c r="D90" s="85">
        <f>C90/0.8</f>
        <v>2400</v>
      </c>
      <c r="E90" s="86" t="s">
        <v>286</v>
      </c>
      <c r="F90" s="48" t="s">
        <v>184</v>
      </c>
      <c r="G90" s="50" t="s">
        <v>185</v>
      </c>
      <c r="H90" s="50" t="s">
        <v>186</v>
      </c>
      <c r="I90" s="50" t="s">
        <v>187</v>
      </c>
      <c r="J90" s="49" t="s">
        <v>188</v>
      </c>
      <c r="K90" s="49" t="s">
        <v>189</v>
      </c>
      <c r="L90" s="49" t="s">
        <v>190</v>
      </c>
      <c r="M90" s="49" t="s">
        <v>191</v>
      </c>
      <c r="N90" s="49" t="s">
        <v>192</v>
      </c>
      <c r="O90" s="50" t="s">
        <v>193</v>
      </c>
      <c r="P90" s="50" t="s">
        <v>194</v>
      </c>
      <c r="Q90" s="50" t="s">
        <v>195</v>
      </c>
      <c r="R90" s="50" t="s">
        <v>196</v>
      </c>
      <c r="S90" s="84" t="s">
        <v>197</v>
      </c>
      <c r="T90" s="77"/>
    </row>
    <row r="91" spans="1:20" ht="17.25" customHeight="1" x14ac:dyDescent="0.2">
      <c r="A91" s="77"/>
      <c r="B91" s="83"/>
      <c r="C91" s="84"/>
      <c r="D91" s="85"/>
      <c r="E91" s="86"/>
      <c r="F91" s="51" t="s">
        <v>198</v>
      </c>
      <c r="G91" s="52" t="s">
        <v>185</v>
      </c>
      <c r="H91" s="52" t="s">
        <v>186</v>
      </c>
      <c r="I91" s="50" t="s">
        <v>187</v>
      </c>
      <c r="J91" s="50" t="s">
        <v>188</v>
      </c>
      <c r="K91" s="50" t="s">
        <v>189</v>
      </c>
      <c r="L91" s="50" t="s">
        <v>190</v>
      </c>
      <c r="M91" s="50" t="s">
        <v>191</v>
      </c>
      <c r="N91" s="50" t="s">
        <v>192</v>
      </c>
      <c r="O91" s="50" t="s">
        <v>193</v>
      </c>
      <c r="P91" s="52" t="s">
        <v>194</v>
      </c>
      <c r="Q91" s="52" t="s">
        <v>195</v>
      </c>
      <c r="R91" s="52" t="s">
        <v>196</v>
      </c>
      <c r="S91" s="84"/>
      <c r="T91" s="77"/>
    </row>
    <row r="92" spans="1:20" ht="17.25" customHeight="1" x14ac:dyDescent="0.2">
      <c r="A92" s="78"/>
      <c r="B92" s="79" t="s">
        <v>287</v>
      </c>
      <c r="C92" s="80">
        <v>360</v>
      </c>
      <c r="D92" s="81">
        <f>C92/0.8</f>
        <v>450</v>
      </c>
      <c r="E92" s="82" t="s">
        <v>286</v>
      </c>
      <c r="F92" s="53" t="s">
        <v>184</v>
      </c>
      <c r="G92" s="54" t="s">
        <v>185</v>
      </c>
      <c r="H92" s="54" t="s">
        <v>186</v>
      </c>
      <c r="I92" s="54" t="s">
        <v>187</v>
      </c>
      <c r="J92" s="54" t="s">
        <v>188</v>
      </c>
      <c r="K92" s="55" t="s">
        <v>189</v>
      </c>
      <c r="L92" s="55" t="s">
        <v>190</v>
      </c>
      <c r="M92" s="54" t="s">
        <v>191</v>
      </c>
      <c r="N92" s="54" t="s">
        <v>192</v>
      </c>
      <c r="O92" s="55" t="s">
        <v>193</v>
      </c>
      <c r="P92" s="55" t="s">
        <v>194</v>
      </c>
      <c r="Q92" s="55" t="s">
        <v>195</v>
      </c>
      <c r="R92" s="54" t="s">
        <v>196</v>
      </c>
      <c r="S92" s="80" t="s">
        <v>197</v>
      </c>
      <c r="T92" s="78"/>
    </row>
    <row r="93" spans="1:20" ht="17.25" customHeight="1" x14ac:dyDescent="0.2">
      <c r="A93" s="78"/>
      <c r="B93" s="79"/>
      <c r="C93" s="80"/>
      <c r="D93" s="81"/>
      <c r="E93" s="82"/>
      <c r="F93" s="56" t="s">
        <v>198</v>
      </c>
      <c r="G93" s="54" t="s">
        <v>185</v>
      </c>
      <c r="H93" s="54" t="s">
        <v>186</v>
      </c>
      <c r="I93" s="57" t="s">
        <v>187</v>
      </c>
      <c r="J93" s="57" t="s">
        <v>188</v>
      </c>
      <c r="K93" s="57" t="s">
        <v>189</v>
      </c>
      <c r="L93" s="54" t="s">
        <v>190</v>
      </c>
      <c r="M93" s="54" t="s">
        <v>191</v>
      </c>
      <c r="N93" s="54" t="s">
        <v>192</v>
      </c>
      <c r="O93" s="54" t="s">
        <v>193</v>
      </c>
      <c r="P93" s="54" t="s">
        <v>194</v>
      </c>
      <c r="Q93" s="57" t="s">
        <v>195</v>
      </c>
      <c r="R93" s="57" t="s">
        <v>196</v>
      </c>
      <c r="S93" s="80"/>
      <c r="T93" s="78"/>
    </row>
    <row r="94" spans="1:20" ht="17.25" customHeight="1" x14ac:dyDescent="0.2">
      <c r="A94" s="77"/>
      <c r="B94" s="83" t="s">
        <v>288</v>
      </c>
      <c r="C94" s="84">
        <v>280</v>
      </c>
      <c r="D94" s="85">
        <f>C94/0.8</f>
        <v>350</v>
      </c>
      <c r="E94" s="86" t="s">
        <v>286</v>
      </c>
      <c r="F94" s="48" t="s">
        <v>184</v>
      </c>
      <c r="G94" s="49" t="s">
        <v>185</v>
      </c>
      <c r="H94" s="49" t="s">
        <v>186</v>
      </c>
      <c r="I94" s="49" t="s">
        <v>187</v>
      </c>
      <c r="J94" s="49" t="s">
        <v>188</v>
      </c>
      <c r="K94" s="49" t="s">
        <v>189</v>
      </c>
      <c r="L94" s="49" t="s">
        <v>190</v>
      </c>
      <c r="M94" s="49" t="s">
        <v>191</v>
      </c>
      <c r="N94" s="49" t="s">
        <v>192</v>
      </c>
      <c r="O94" s="49" t="s">
        <v>193</v>
      </c>
      <c r="P94" s="49" t="s">
        <v>194</v>
      </c>
      <c r="Q94" s="49" t="s">
        <v>195</v>
      </c>
      <c r="R94" s="49" t="s">
        <v>196</v>
      </c>
      <c r="S94" s="84" t="s">
        <v>197</v>
      </c>
      <c r="T94" s="77"/>
    </row>
    <row r="95" spans="1:20" ht="17.25" customHeight="1" x14ac:dyDescent="0.2">
      <c r="A95" s="77"/>
      <c r="B95" s="83"/>
      <c r="C95" s="84"/>
      <c r="D95" s="85"/>
      <c r="E95" s="86"/>
      <c r="F95" s="51" t="s">
        <v>198</v>
      </c>
      <c r="G95" s="52" t="s">
        <v>185</v>
      </c>
      <c r="H95" s="52" t="s">
        <v>186</v>
      </c>
      <c r="I95" s="52" t="s">
        <v>187</v>
      </c>
      <c r="J95" s="52" t="s">
        <v>188</v>
      </c>
      <c r="K95" s="52" t="s">
        <v>189</v>
      </c>
      <c r="L95" s="52" t="s">
        <v>190</v>
      </c>
      <c r="M95" s="52" t="s">
        <v>191</v>
      </c>
      <c r="N95" s="52" t="s">
        <v>192</v>
      </c>
      <c r="O95" s="52" t="s">
        <v>193</v>
      </c>
      <c r="P95" s="52" t="s">
        <v>194</v>
      </c>
      <c r="Q95" s="52" t="s">
        <v>195</v>
      </c>
      <c r="R95" s="52" t="s">
        <v>196</v>
      </c>
      <c r="S95" s="84"/>
      <c r="T95" s="77"/>
    </row>
    <row r="96" spans="1:20" ht="17.25" customHeight="1" x14ac:dyDescent="0.2">
      <c r="A96" s="78"/>
      <c r="B96" s="79" t="s">
        <v>289</v>
      </c>
      <c r="C96" s="80">
        <v>2400</v>
      </c>
      <c r="D96" s="81">
        <f>C96/0.8</f>
        <v>3000</v>
      </c>
      <c r="E96" s="82" t="s">
        <v>286</v>
      </c>
      <c r="F96" s="53" t="s">
        <v>184</v>
      </c>
      <c r="G96" s="54" t="s">
        <v>185</v>
      </c>
      <c r="H96" s="54" t="s">
        <v>186</v>
      </c>
      <c r="I96" s="54" t="s">
        <v>187</v>
      </c>
      <c r="J96" s="54" t="s">
        <v>188</v>
      </c>
      <c r="K96" s="55" t="s">
        <v>189</v>
      </c>
      <c r="L96" s="55" t="s">
        <v>190</v>
      </c>
      <c r="M96" s="55" t="s">
        <v>191</v>
      </c>
      <c r="N96" s="55" t="s">
        <v>192</v>
      </c>
      <c r="O96" s="55" t="s">
        <v>193</v>
      </c>
      <c r="P96" s="54" t="s">
        <v>194</v>
      </c>
      <c r="Q96" s="54" t="s">
        <v>195</v>
      </c>
      <c r="R96" s="54" t="s">
        <v>196</v>
      </c>
      <c r="S96" s="80" t="s">
        <v>197</v>
      </c>
      <c r="T96" s="78"/>
    </row>
    <row r="97" spans="1:20" ht="17.25" customHeight="1" x14ac:dyDescent="0.2">
      <c r="A97" s="78"/>
      <c r="B97" s="79"/>
      <c r="C97" s="80"/>
      <c r="D97" s="81"/>
      <c r="E97" s="82"/>
      <c r="F97" s="56" t="s">
        <v>198</v>
      </c>
      <c r="G97" s="57" t="s">
        <v>185</v>
      </c>
      <c r="H97" s="57" t="s">
        <v>186</v>
      </c>
      <c r="I97" s="57" t="s">
        <v>187</v>
      </c>
      <c r="J97" s="54" t="s">
        <v>188</v>
      </c>
      <c r="K97" s="54" t="s">
        <v>189</v>
      </c>
      <c r="L97" s="54" t="s">
        <v>190</v>
      </c>
      <c r="M97" s="54" t="s">
        <v>191</v>
      </c>
      <c r="N97" s="54" t="s">
        <v>192</v>
      </c>
      <c r="O97" s="54" t="s">
        <v>193</v>
      </c>
      <c r="P97" s="54" t="s">
        <v>194</v>
      </c>
      <c r="Q97" s="57" t="s">
        <v>195</v>
      </c>
      <c r="R97" s="57" t="s">
        <v>196</v>
      </c>
      <c r="S97" s="80"/>
      <c r="T97" s="78"/>
    </row>
    <row r="98" spans="1:20" ht="17.25" customHeight="1" x14ac:dyDescent="0.2">
      <c r="A98" s="77"/>
      <c r="B98" s="83" t="s">
        <v>290</v>
      </c>
      <c r="C98" s="77"/>
      <c r="D98" s="85">
        <f>C98/0.8</f>
        <v>0</v>
      </c>
      <c r="E98" s="86" t="s">
        <v>291</v>
      </c>
      <c r="F98" s="48" t="s">
        <v>184</v>
      </c>
      <c r="G98" s="50" t="s">
        <v>185</v>
      </c>
      <c r="H98" s="50" t="s">
        <v>186</v>
      </c>
      <c r="I98" s="50" t="s">
        <v>187</v>
      </c>
      <c r="J98" s="50" t="s">
        <v>188</v>
      </c>
      <c r="K98" s="50" t="s">
        <v>189</v>
      </c>
      <c r="L98" s="50" t="s">
        <v>190</v>
      </c>
      <c r="M98" s="49" t="s">
        <v>191</v>
      </c>
      <c r="N98" s="49" t="s">
        <v>192</v>
      </c>
      <c r="O98" s="50" t="s">
        <v>193</v>
      </c>
      <c r="P98" s="50" t="s">
        <v>194</v>
      </c>
      <c r="Q98" s="50" t="s">
        <v>195</v>
      </c>
      <c r="R98" s="50" t="s">
        <v>196</v>
      </c>
      <c r="S98" s="84" t="s">
        <v>197</v>
      </c>
      <c r="T98" s="77"/>
    </row>
    <row r="99" spans="1:20" ht="17.25" customHeight="1" x14ac:dyDescent="0.2">
      <c r="A99" s="77"/>
      <c r="B99" s="83"/>
      <c r="C99" s="77"/>
      <c r="D99" s="85"/>
      <c r="E99" s="86"/>
      <c r="F99" s="51" t="s">
        <v>198</v>
      </c>
      <c r="G99" s="52" t="s">
        <v>185</v>
      </c>
      <c r="H99" s="52" t="s">
        <v>186</v>
      </c>
      <c r="I99" s="50" t="s">
        <v>187</v>
      </c>
      <c r="J99" s="50" t="s">
        <v>188</v>
      </c>
      <c r="K99" s="50" t="s">
        <v>189</v>
      </c>
      <c r="L99" s="50" t="s">
        <v>190</v>
      </c>
      <c r="M99" s="50" t="s">
        <v>191</v>
      </c>
      <c r="N99" s="50" t="s">
        <v>192</v>
      </c>
      <c r="O99" s="50" t="s">
        <v>193</v>
      </c>
      <c r="P99" s="50" t="s">
        <v>194</v>
      </c>
      <c r="Q99" s="50" t="s">
        <v>195</v>
      </c>
      <c r="R99" s="50" t="s">
        <v>196</v>
      </c>
      <c r="S99" s="84"/>
      <c r="T99" s="77"/>
    </row>
    <row r="100" spans="1:20" ht="17.25" customHeight="1" x14ac:dyDescent="0.2">
      <c r="A100" s="78"/>
      <c r="B100" s="79" t="s">
        <v>292</v>
      </c>
      <c r="C100" s="78"/>
      <c r="D100" s="81">
        <f>C100/0.8</f>
        <v>0</v>
      </c>
      <c r="E100" s="82" t="s">
        <v>293</v>
      </c>
      <c r="F100" s="53" t="s">
        <v>184</v>
      </c>
      <c r="G100" s="55" t="s">
        <v>185</v>
      </c>
      <c r="H100" s="55" t="s">
        <v>186</v>
      </c>
      <c r="I100" s="54" t="s">
        <v>187</v>
      </c>
      <c r="J100" s="54" t="s">
        <v>188</v>
      </c>
      <c r="K100" s="54" t="s">
        <v>189</v>
      </c>
      <c r="L100" s="54" t="s">
        <v>190</v>
      </c>
      <c r="M100" s="54" t="s">
        <v>191</v>
      </c>
      <c r="N100" s="54" t="s">
        <v>192</v>
      </c>
      <c r="O100" s="54" t="s">
        <v>193</v>
      </c>
      <c r="P100" s="54" t="s">
        <v>194</v>
      </c>
      <c r="Q100" s="54" t="s">
        <v>195</v>
      </c>
      <c r="R100" s="55" t="s">
        <v>196</v>
      </c>
      <c r="S100" s="80" t="s">
        <v>197</v>
      </c>
      <c r="T100" s="78"/>
    </row>
    <row r="101" spans="1:20" ht="17.25" customHeight="1" x14ac:dyDescent="0.2">
      <c r="A101" s="78"/>
      <c r="B101" s="79"/>
      <c r="C101" s="78"/>
      <c r="D101" s="81"/>
      <c r="E101" s="82"/>
      <c r="F101" s="56" t="s">
        <v>198</v>
      </c>
      <c r="G101" s="54" t="s">
        <v>185</v>
      </c>
      <c r="H101" s="54" t="s">
        <v>186</v>
      </c>
      <c r="I101" s="54" t="s">
        <v>187</v>
      </c>
      <c r="J101" s="54" t="s">
        <v>188</v>
      </c>
      <c r="K101" s="54" t="s">
        <v>189</v>
      </c>
      <c r="L101" s="57" t="s">
        <v>190</v>
      </c>
      <c r="M101" s="57" t="s">
        <v>191</v>
      </c>
      <c r="N101" s="57" t="s">
        <v>192</v>
      </c>
      <c r="O101" s="54" t="s">
        <v>193</v>
      </c>
      <c r="P101" s="54" t="s">
        <v>194</v>
      </c>
      <c r="Q101" s="54" t="s">
        <v>195</v>
      </c>
      <c r="R101" s="54" t="s">
        <v>196</v>
      </c>
      <c r="S101" s="80"/>
      <c r="T101" s="78"/>
    </row>
    <row r="102" spans="1:20" ht="17.25" customHeight="1" x14ac:dyDescent="0.2">
      <c r="A102" s="77"/>
      <c r="B102" s="83" t="s">
        <v>294</v>
      </c>
      <c r="C102" s="84">
        <v>240</v>
      </c>
      <c r="D102" s="85">
        <f>C102/0.8</f>
        <v>300</v>
      </c>
      <c r="E102" s="86" t="s">
        <v>284</v>
      </c>
      <c r="F102" s="48" t="s">
        <v>184</v>
      </c>
      <c r="G102" s="50" t="s">
        <v>185</v>
      </c>
      <c r="H102" s="50" t="s">
        <v>186</v>
      </c>
      <c r="I102" s="50" t="s">
        <v>187</v>
      </c>
      <c r="J102" s="50" t="s">
        <v>188</v>
      </c>
      <c r="K102" s="50" t="s">
        <v>189</v>
      </c>
      <c r="L102" s="50" t="s">
        <v>190</v>
      </c>
      <c r="M102" s="49" t="s">
        <v>191</v>
      </c>
      <c r="N102" s="49" t="s">
        <v>192</v>
      </c>
      <c r="O102" s="49" t="s">
        <v>193</v>
      </c>
      <c r="P102" s="50" t="s">
        <v>194</v>
      </c>
      <c r="Q102" s="50" t="s">
        <v>195</v>
      </c>
      <c r="R102" s="50" t="s">
        <v>196</v>
      </c>
      <c r="S102" s="84" t="s">
        <v>197</v>
      </c>
      <c r="T102" s="77"/>
    </row>
    <row r="103" spans="1:20" ht="17.25" customHeight="1" x14ac:dyDescent="0.2">
      <c r="A103" s="77"/>
      <c r="B103" s="83"/>
      <c r="C103" s="84"/>
      <c r="D103" s="85"/>
      <c r="E103" s="86"/>
      <c r="F103" s="51" t="s">
        <v>198</v>
      </c>
      <c r="G103" s="52" t="s">
        <v>185</v>
      </c>
      <c r="H103" s="52" t="s">
        <v>186</v>
      </c>
      <c r="I103" s="52" t="s">
        <v>187</v>
      </c>
      <c r="J103" s="50" t="s">
        <v>188</v>
      </c>
      <c r="K103" s="50" t="s">
        <v>189</v>
      </c>
      <c r="L103" s="50" t="s">
        <v>190</v>
      </c>
      <c r="M103" s="50" t="s">
        <v>191</v>
      </c>
      <c r="N103" s="50" t="s">
        <v>192</v>
      </c>
      <c r="O103" s="50" t="s">
        <v>193</v>
      </c>
      <c r="P103" s="50" t="s">
        <v>194</v>
      </c>
      <c r="Q103" s="50" t="s">
        <v>195</v>
      </c>
      <c r="R103" s="50" t="s">
        <v>196</v>
      </c>
      <c r="S103" s="84"/>
      <c r="T103" s="77"/>
    </row>
    <row r="104" spans="1:20" ht="17.25" customHeight="1" x14ac:dyDescent="0.2">
      <c r="A104" s="78"/>
      <c r="B104" s="79" t="s">
        <v>295</v>
      </c>
      <c r="C104" s="78"/>
      <c r="D104" s="81">
        <f>C104/0.8</f>
        <v>0</v>
      </c>
      <c r="E104" s="82" t="s">
        <v>291</v>
      </c>
      <c r="F104" s="53" t="s">
        <v>184</v>
      </c>
      <c r="G104" s="54" t="s">
        <v>185</v>
      </c>
      <c r="H104" s="54" t="s">
        <v>186</v>
      </c>
      <c r="I104" s="54" t="s">
        <v>187</v>
      </c>
      <c r="J104" s="54" t="s">
        <v>188</v>
      </c>
      <c r="K104" s="54" t="s">
        <v>189</v>
      </c>
      <c r="L104" s="54" t="s">
        <v>190</v>
      </c>
      <c r="M104" s="55" t="s">
        <v>191</v>
      </c>
      <c r="N104" s="55" t="s">
        <v>192</v>
      </c>
      <c r="O104" s="54" t="s">
        <v>193</v>
      </c>
      <c r="P104" s="54" t="s">
        <v>194</v>
      </c>
      <c r="Q104" s="54" t="s">
        <v>195</v>
      </c>
      <c r="R104" s="54" t="s">
        <v>196</v>
      </c>
      <c r="S104" s="80" t="s">
        <v>213</v>
      </c>
      <c r="T104" s="78"/>
    </row>
    <row r="105" spans="1:20" ht="17.25" customHeight="1" x14ac:dyDescent="0.2">
      <c r="A105" s="78"/>
      <c r="B105" s="79"/>
      <c r="C105" s="78"/>
      <c r="D105" s="81"/>
      <c r="E105" s="82"/>
      <c r="F105" s="56" t="s">
        <v>198</v>
      </c>
      <c r="G105" s="57" t="s">
        <v>185</v>
      </c>
      <c r="H105" s="57" t="s">
        <v>186</v>
      </c>
      <c r="I105" s="54" t="s">
        <v>187</v>
      </c>
      <c r="J105" s="54" t="s">
        <v>188</v>
      </c>
      <c r="K105" s="54" t="s">
        <v>189</v>
      </c>
      <c r="L105" s="54" t="s">
        <v>190</v>
      </c>
      <c r="M105" s="54" t="s">
        <v>191</v>
      </c>
      <c r="N105" s="54" t="s">
        <v>192</v>
      </c>
      <c r="O105" s="54" t="s">
        <v>193</v>
      </c>
      <c r="P105" s="54" t="s">
        <v>194</v>
      </c>
      <c r="Q105" s="54" t="s">
        <v>195</v>
      </c>
      <c r="R105" s="54" t="s">
        <v>196</v>
      </c>
      <c r="S105" s="80"/>
      <c r="T105" s="78"/>
    </row>
    <row r="106" spans="1:20" ht="17.25" customHeight="1" x14ac:dyDescent="0.2">
      <c r="A106" s="77"/>
      <c r="B106" s="83" t="s">
        <v>296</v>
      </c>
      <c r="C106" s="84">
        <v>160</v>
      </c>
      <c r="D106" s="85">
        <f>C106/0.8</f>
        <v>200</v>
      </c>
      <c r="E106" s="86" t="s">
        <v>291</v>
      </c>
      <c r="F106" s="48" t="s">
        <v>184</v>
      </c>
      <c r="G106" s="50" t="s">
        <v>185</v>
      </c>
      <c r="H106" s="50" t="s">
        <v>186</v>
      </c>
      <c r="I106" s="50" t="s">
        <v>187</v>
      </c>
      <c r="J106" s="50" t="s">
        <v>188</v>
      </c>
      <c r="K106" s="50" t="s">
        <v>189</v>
      </c>
      <c r="L106" s="49" t="s">
        <v>190</v>
      </c>
      <c r="M106" s="49" t="s">
        <v>191</v>
      </c>
      <c r="N106" s="49" t="s">
        <v>192</v>
      </c>
      <c r="O106" s="50" t="s">
        <v>193</v>
      </c>
      <c r="P106" s="50" t="s">
        <v>194</v>
      </c>
      <c r="Q106" s="50" t="s">
        <v>195</v>
      </c>
      <c r="R106" s="50" t="s">
        <v>196</v>
      </c>
      <c r="S106" s="84" t="s">
        <v>197</v>
      </c>
      <c r="T106" s="77"/>
    </row>
    <row r="107" spans="1:20" ht="17.25" customHeight="1" x14ac:dyDescent="0.2">
      <c r="A107" s="77"/>
      <c r="B107" s="83"/>
      <c r="C107" s="84"/>
      <c r="D107" s="85"/>
      <c r="E107" s="86"/>
      <c r="F107" s="51" t="s">
        <v>198</v>
      </c>
      <c r="G107" s="50" t="s">
        <v>185</v>
      </c>
      <c r="H107" s="50" t="s">
        <v>186</v>
      </c>
      <c r="I107" s="50" t="s">
        <v>187</v>
      </c>
      <c r="J107" s="50" t="s">
        <v>188</v>
      </c>
      <c r="K107" s="50" t="s">
        <v>189</v>
      </c>
      <c r="L107" s="52" t="s">
        <v>190</v>
      </c>
      <c r="M107" s="52" t="s">
        <v>191</v>
      </c>
      <c r="N107" s="52" t="s">
        <v>192</v>
      </c>
      <c r="O107" s="50" t="s">
        <v>193</v>
      </c>
      <c r="P107" s="50" t="s">
        <v>194</v>
      </c>
      <c r="Q107" s="50" t="s">
        <v>195</v>
      </c>
      <c r="R107" s="50" t="s">
        <v>196</v>
      </c>
      <c r="S107" s="84"/>
      <c r="T107" s="77"/>
    </row>
    <row r="108" spans="1:20" ht="17.25" customHeight="1" x14ac:dyDescent="0.2">
      <c r="A108" s="78"/>
      <c r="B108" s="79" t="s">
        <v>297</v>
      </c>
      <c r="C108" s="80">
        <v>6400</v>
      </c>
      <c r="D108" s="81">
        <f>C108/0.8</f>
        <v>8000</v>
      </c>
      <c r="E108" s="82" t="s">
        <v>291</v>
      </c>
      <c r="F108" s="53" t="s">
        <v>184</v>
      </c>
      <c r="G108" s="54" t="s">
        <v>185</v>
      </c>
      <c r="H108" s="54" t="s">
        <v>186</v>
      </c>
      <c r="I108" s="54" t="s">
        <v>187</v>
      </c>
      <c r="J108" s="54" t="s">
        <v>188</v>
      </c>
      <c r="K108" s="54" t="s">
        <v>189</v>
      </c>
      <c r="L108" s="55" t="s">
        <v>190</v>
      </c>
      <c r="M108" s="55" t="s">
        <v>191</v>
      </c>
      <c r="N108" s="55" t="s">
        <v>192</v>
      </c>
      <c r="O108" s="55" t="s">
        <v>193</v>
      </c>
      <c r="P108" s="54" t="s">
        <v>194</v>
      </c>
      <c r="Q108" s="54" t="s">
        <v>195</v>
      </c>
      <c r="R108" s="54" t="s">
        <v>196</v>
      </c>
      <c r="S108" s="80" t="s">
        <v>251</v>
      </c>
      <c r="T108" s="78"/>
    </row>
    <row r="109" spans="1:20" ht="17.25" customHeight="1" x14ac:dyDescent="0.2">
      <c r="A109" s="78"/>
      <c r="B109" s="79"/>
      <c r="C109" s="80"/>
      <c r="D109" s="81"/>
      <c r="E109" s="82"/>
      <c r="F109" s="56" t="s">
        <v>198</v>
      </c>
      <c r="G109" s="57" t="s">
        <v>185</v>
      </c>
      <c r="H109" s="57" t="s">
        <v>186</v>
      </c>
      <c r="I109" s="57" t="s">
        <v>187</v>
      </c>
      <c r="J109" s="54" t="s">
        <v>188</v>
      </c>
      <c r="K109" s="54" t="s">
        <v>189</v>
      </c>
      <c r="L109" s="54" t="s">
        <v>190</v>
      </c>
      <c r="M109" s="54" t="s">
        <v>191</v>
      </c>
      <c r="N109" s="54" t="s">
        <v>192</v>
      </c>
      <c r="O109" s="54" t="s">
        <v>193</v>
      </c>
      <c r="P109" s="54" t="s">
        <v>194</v>
      </c>
      <c r="Q109" s="54" t="s">
        <v>195</v>
      </c>
      <c r="R109" s="57" t="s">
        <v>196</v>
      </c>
      <c r="S109" s="80"/>
      <c r="T109" s="78"/>
    </row>
    <row r="110" spans="1:20" ht="17.25" customHeight="1" x14ac:dyDescent="0.2">
      <c r="A110" s="77"/>
      <c r="B110" s="83" t="s">
        <v>298</v>
      </c>
      <c r="C110" s="77"/>
      <c r="D110" s="85">
        <f>C110/0.8</f>
        <v>0</v>
      </c>
      <c r="E110" s="86" t="s">
        <v>291</v>
      </c>
      <c r="F110" s="48" t="s">
        <v>184</v>
      </c>
      <c r="G110" s="50" t="s">
        <v>185</v>
      </c>
      <c r="H110" s="50" t="s">
        <v>186</v>
      </c>
      <c r="I110" s="50" t="s">
        <v>187</v>
      </c>
      <c r="J110" s="50" t="s">
        <v>188</v>
      </c>
      <c r="K110" s="50" t="s">
        <v>189</v>
      </c>
      <c r="L110" s="50" t="s">
        <v>190</v>
      </c>
      <c r="M110" s="49" t="s">
        <v>191</v>
      </c>
      <c r="N110" s="49" t="s">
        <v>192</v>
      </c>
      <c r="O110" s="50" t="s">
        <v>193</v>
      </c>
      <c r="P110" s="50" t="s">
        <v>194</v>
      </c>
      <c r="Q110" s="50" t="s">
        <v>195</v>
      </c>
      <c r="R110" s="50" t="s">
        <v>196</v>
      </c>
      <c r="S110" s="84" t="s">
        <v>197</v>
      </c>
      <c r="T110" s="77"/>
    </row>
    <row r="111" spans="1:20" ht="17.25" customHeight="1" x14ac:dyDescent="0.2">
      <c r="A111" s="77"/>
      <c r="B111" s="83"/>
      <c r="C111" s="77"/>
      <c r="D111" s="85"/>
      <c r="E111" s="86"/>
      <c r="F111" s="51" t="s">
        <v>198</v>
      </c>
      <c r="G111" s="52" t="s">
        <v>185</v>
      </c>
      <c r="H111" s="52" t="s">
        <v>186</v>
      </c>
      <c r="I111" s="50" t="s">
        <v>187</v>
      </c>
      <c r="J111" s="50" t="s">
        <v>188</v>
      </c>
      <c r="K111" s="50" t="s">
        <v>189</v>
      </c>
      <c r="L111" s="50" t="s">
        <v>190</v>
      </c>
      <c r="M111" s="50" t="s">
        <v>191</v>
      </c>
      <c r="N111" s="50" t="s">
        <v>192</v>
      </c>
      <c r="O111" s="50" t="s">
        <v>193</v>
      </c>
      <c r="P111" s="50" t="s">
        <v>194</v>
      </c>
      <c r="Q111" s="50" t="s">
        <v>195</v>
      </c>
      <c r="R111" s="50" t="s">
        <v>196</v>
      </c>
      <c r="S111" s="84"/>
      <c r="T111" s="77"/>
    </row>
    <row r="112" spans="1:20" ht="17.25" customHeight="1" x14ac:dyDescent="0.2">
      <c r="A112" s="78"/>
      <c r="B112" s="79" t="s">
        <v>299</v>
      </c>
      <c r="C112" s="78"/>
      <c r="D112" s="81">
        <f>C112/0.8</f>
        <v>0</v>
      </c>
      <c r="E112" s="82" t="s">
        <v>291</v>
      </c>
      <c r="F112" s="53" t="s">
        <v>184</v>
      </c>
      <c r="G112" s="54" t="s">
        <v>185</v>
      </c>
      <c r="H112" s="54" t="s">
        <v>186</v>
      </c>
      <c r="I112" s="54" t="s">
        <v>187</v>
      </c>
      <c r="J112" s="54" t="s">
        <v>188</v>
      </c>
      <c r="K112" s="54" t="s">
        <v>189</v>
      </c>
      <c r="L112" s="54" t="s">
        <v>190</v>
      </c>
      <c r="M112" s="55" t="s">
        <v>191</v>
      </c>
      <c r="N112" s="55" t="s">
        <v>192</v>
      </c>
      <c r="O112" s="54" t="s">
        <v>193</v>
      </c>
      <c r="P112" s="54" t="s">
        <v>194</v>
      </c>
      <c r="Q112" s="54" t="s">
        <v>195</v>
      </c>
      <c r="R112" s="54" t="s">
        <v>196</v>
      </c>
      <c r="S112" s="80" t="s">
        <v>197</v>
      </c>
      <c r="T112" s="78"/>
    </row>
    <row r="113" spans="1:20" ht="17.25" customHeight="1" x14ac:dyDescent="0.2">
      <c r="A113" s="78"/>
      <c r="B113" s="79"/>
      <c r="C113" s="78"/>
      <c r="D113" s="81"/>
      <c r="E113" s="82"/>
      <c r="F113" s="56" t="s">
        <v>198</v>
      </c>
      <c r="G113" s="57" t="s">
        <v>185</v>
      </c>
      <c r="H113" s="57" t="s">
        <v>186</v>
      </c>
      <c r="I113" s="54" t="s">
        <v>187</v>
      </c>
      <c r="J113" s="54" t="s">
        <v>188</v>
      </c>
      <c r="K113" s="54" t="s">
        <v>189</v>
      </c>
      <c r="L113" s="54" t="s">
        <v>190</v>
      </c>
      <c r="M113" s="54" t="s">
        <v>191</v>
      </c>
      <c r="N113" s="54" t="s">
        <v>192</v>
      </c>
      <c r="O113" s="54" t="s">
        <v>193</v>
      </c>
      <c r="P113" s="54" t="s">
        <v>194</v>
      </c>
      <c r="Q113" s="54" t="s">
        <v>195</v>
      </c>
      <c r="R113" s="54" t="s">
        <v>196</v>
      </c>
      <c r="S113" s="80"/>
      <c r="T113" s="78"/>
    </row>
    <row r="114" spans="1:20" ht="17.25" customHeight="1" x14ac:dyDescent="0.2">
      <c r="A114" s="77"/>
      <c r="B114" s="83" t="s">
        <v>300</v>
      </c>
      <c r="C114" s="77"/>
      <c r="D114" s="85">
        <f>C114/0.8</f>
        <v>0</v>
      </c>
      <c r="E114" s="86" t="s">
        <v>291</v>
      </c>
      <c r="F114" s="48" t="s">
        <v>184</v>
      </c>
      <c r="G114" s="50" t="s">
        <v>185</v>
      </c>
      <c r="H114" s="50" t="s">
        <v>186</v>
      </c>
      <c r="I114" s="50" t="s">
        <v>187</v>
      </c>
      <c r="J114" s="50" t="s">
        <v>188</v>
      </c>
      <c r="K114" s="50" t="s">
        <v>189</v>
      </c>
      <c r="L114" s="50" t="s">
        <v>190</v>
      </c>
      <c r="M114" s="49" t="s">
        <v>191</v>
      </c>
      <c r="N114" s="49" t="s">
        <v>192</v>
      </c>
      <c r="O114" s="50" t="s">
        <v>193</v>
      </c>
      <c r="P114" s="50" t="s">
        <v>194</v>
      </c>
      <c r="Q114" s="50" t="s">
        <v>195</v>
      </c>
      <c r="R114" s="50" t="s">
        <v>196</v>
      </c>
      <c r="S114" s="84" t="s">
        <v>213</v>
      </c>
      <c r="T114" s="77"/>
    </row>
    <row r="115" spans="1:20" ht="17.25" customHeight="1" x14ac:dyDescent="0.2">
      <c r="A115" s="77"/>
      <c r="B115" s="83"/>
      <c r="C115" s="77"/>
      <c r="D115" s="85"/>
      <c r="E115" s="86"/>
      <c r="F115" s="51" t="s">
        <v>198</v>
      </c>
      <c r="G115" s="52" t="s">
        <v>185</v>
      </c>
      <c r="H115" s="52" t="s">
        <v>186</v>
      </c>
      <c r="I115" s="50" t="s">
        <v>187</v>
      </c>
      <c r="J115" s="50" t="s">
        <v>188</v>
      </c>
      <c r="K115" s="50" t="s">
        <v>189</v>
      </c>
      <c r="L115" s="50" t="s">
        <v>190</v>
      </c>
      <c r="M115" s="50" t="s">
        <v>191</v>
      </c>
      <c r="N115" s="50" t="s">
        <v>192</v>
      </c>
      <c r="O115" s="50" t="s">
        <v>193</v>
      </c>
      <c r="P115" s="50" t="s">
        <v>194</v>
      </c>
      <c r="Q115" s="50" t="s">
        <v>195</v>
      </c>
      <c r="R115" s="50" t="s">
        <v>196</v>
      </c>
      <c r="S115" s="84"/>
      <c r="T115" s="77"/>
    </row>
    <row r="116" spans="1:20" ht="17.25" customHeight="1" x14ac:dyDescent="0.2">
      <c r="A116" s="78"/>
      <c r="B116" s="79" t="s">
        <v>301</v>
      </c>
      <c r="C116" s="80">
        <v>4800</v>
      </c>
      <c r="D116" s="81">
        <f>C116/0.8</f>
        <v>6000</v>
      </c>
      <c r="E116" s="82" t="s">
        <v>291</v>
      </c>
      <c r="F116" s="53" t="s">
        <v>184</v>
      </c>
      <c r="G116" s="54" t="s">
        <v>185</v>
      </c>
      <c r="H116" s="54" t="s">
        <v>186</v>
      </c>
      <c r="I116" s="54" t="s">
        <v>187</v>
      </c>
      <c r="J116" s="54" t="s">
        <v>188</v>
      </c>
      <c r="K116" s="54" t="s">
        <v>189</v>
      </c>
      <c r="L116" s="55" t="s">
        <v>190</v>
      </c>
      <c r="M116" s="55" t="s">
        <v>191</v>
      </c>
      <c r="N116" s="55" t="s">
        <v>192</v>
      </c>
      <c r="O116" s="55" t="s">
        <v>193</v>
      </c>
      <c r="P116" s="54" t="s">
        <v>194</v>
      </c>
      <c r="Q116" s="54" t="s">
        <v>195</v>
      </c>
      <c r="R116" s="54" t="s">
        <v>196</v>
      </c>
      <c r="S116" s="80" t="s">
        <v>233</v>
      </c>
      <c r="T116" s="78"/>
    </row>
    <row r="117" spans="1:20" ht="17.25" customHeight="1" x14ac:dyDescent="0.2">
      <c r="A117" s="78"/>
      <c r="B117" s="79"/>
      <c r="C117" s="80"/>
      <c r="D117" s="81"/>
      <c r="E117" s="82"/>
      <c r="F117" s="56" t="s">
        <v>198</v>
      </c>
      <c r="G117" s="57" t="s">
        <v>185</v>
      </c>
      <c r="H117" s="57" t="s">
        <v>186</v>
      </c>
      <c r="I117" s="57" t="s">
        <v>187</v>
      </c>
      <c r="J117" s="54" t="s">
        <v>188</v>
      </c>
      <c r="K117" s="54" t="s">
        <v>189</v>
      </c>
      <c r="L117" s="54" t="s">
        <v>190</v>
      </c>
      <c r="M117" s="54" t="s">
        <v>191</v>
      </c>
      <c r="N117" s="54" t="s">
        <v>192</v>
      </c>
      <c r="O117" s="54" t="s">
        <v>193</v>
      </c>
      <c r="P117" s="54" t="s">
        <v>194</v>
      </c>
      <c r="Q117" s="54" t="s">
        <v>195</v>
      </c>
      <c r="R117" s="57" t="s">
        <v>196</v>
      </c>
      <c r="S117" s="80"/>
      <c r="T117" s="78"/>
    </row>
    <row r="118" spans="1:20" ht="17.25" customHeight="1" x14ac:dyDescent="0.2">
      <c r="A118" s="77"/>
      <c r="B118" s="83" t="s">
        <v>302</v>
      </c>
      <c r="C118" s="77"/>
      <c r="D118" s="85">
        <f>C118/0.8</f>
        <v>0</v>
      </c>
      <c r="E118" s="86" t="s">
        <v>291</v>
      </c>
      <c r="F118" s="48" t="s">
        <v>184</v>
      </c>
      <c r="G118" s="50" t="s">
        <v>185</v>
      </c>
      <c r="H118" s="50" t="s">
        <v>186</v>
      </c>
      <c r="I118" s="50" t="s">
        <v>187</v>
      </c>
      <c r="J118" s="50" t="s">
        <v>188</v>
      </c>
      <c r="K118" s="50" t="s">
        <v>189</v>
      </c>
      <c r="L118" s="50" t="s">
        <v>190</v>
      </c>
      <c r="M118" s="49" t="s">
        <v>191</v>
      </c>
      <c r="N118" s="49" t="s">
        <v>192</v>
      </c>
      <c r="O118" s="50" t="s">
        <v>193</v>
      </c>
      <c r="P118" s="50" t="s">
        <v>194</v>
      </c>
      <c r="Q118" s="50" t="s">
        <v>195</v>
      </c>
      <c r="R118" s="50" t="s">
        <v>196</v>
      </c>
      <c r="S118" s="84" t="s">
        <v>213</v>
      </c>
      <c r="T118" s="77"/>
    </row>
    <row r="119" spans="1:20" ht="17.25" customHeight="1" x14ac:dyDescent="0.2">
      <c r="A119" s="77"/>
      <c r="B119" s="83"/>
      <c r="C119" s="77"/>
      <c r="D119" s="85"/>
      <c r="E119" s="86"/>
      <c r="F119" s="51" t="s">
        <v>198</v>
      </c>
      <c r="G119" s="52" t="s">
        <v>185</v>
      </c>
      <c r="H119" s="52" t="s">
        <v>186</v>
      </c>
      <c r="I119" s="50" t="s">
        <v>187</v>
      </c>
      <c r="J119" s="50" t="s">
        <v>188</v>
      </c>
      <c r="K119" s="50" t="s">
        <v>189</v>
      </c>
      <c r="L119" s="50" t="s">
        <v>190</v>
      </c>
      <c r="M119" s="50" t="s">
        <v>191</v>
      </c>
      <c r="N119" s="50" t="s">
        <v>192</v>
      </c>
      <c r="O119" s="50" t="s">
        <v>193</v>
      </c>
      <c r="P119" s="50" t="s">
        <v>194</v>
      </c>
      <c r="Q119" s="50" t="s">
        <v>195</v>
      </c>
      <c r="R119" s="50" t="s">
        <v>196</v>
      </c>
      <c r="S119" s="84"/>
      <c r="T119" s="77"/>
    </row>
    <row r="120" spans="1:20" ht="17.25" customHeight="1" x14ac:dyDescent="0.2">
      <c r="A120" s="78"/>
      <c r="B120" s="79" t="s">
        <v>303</v>
      </c>
      <c r="C120" s="78"/>
      <c r="D120" s="81">
        <f>C120/0.8</f>
        <v>0</v>
      </c>
      <c r="E120" s="82" t="s">
        <v>291</v>
      </c>
      <c r="F120" s="53" t="s">
        <v>184</v>
      </c>
      <c r="G120" s="54" t="s">
        <v>185</v>
      </c>
      <c r="H120" s="54" t="s">
        <v>186</v>
      </c>
      <c r="I120" s="54" t="s">
        <v>187</v>
      </c>
      <c r="J120" s="54" t="s">
        <v>188</v>
      </c>
      <c r="K120" s="54" t="s">
        <v>189</v>
      </c>
      <c r="L120" s="54" t="s">
        <v>190</v>
      </c>
      <c r="M120" s="55" t="s">
        <v>191</v>
      </c>
      <c r="N120" s="55" t="s">
        <v>192</v>
      </c>
      <c r="O120" s="54" t="s">
        <v>193</v>
      </c>
      <c r="P120" s="54" t="s">
        <v>194</v>
      </c>
      <c r="Q120" s="54" t="s">
        <v>195</v>
      </c>
      <c r="R120" s="54" t="s">
        <v>196</v>
      </c>
      <c r="S120" s="80" t="s">
        <v>213</v>
      </c>
      <c r="T120" s="78"/>
    </row>
    <row r="121" spans="1:20" ht="17.25" customHeight="1" x14ac:dyDescent="0.2">
      <c r="A121" s="78"/>
      <c r="B121" s="79"/>
      <c r="C121" s="78"/>
      <c r="D121" s="81"/>
      <c r="E121" s="82"/>
      <c r="F121" s="56" t="s">
        <v>198</v>
      </c>
      <c r="G121" s="57" t="s">
        <v>185</v>
      </c>
      <c r="H121" s="57" t="s">
        <v>186</v>
      </c>
      <c r="I121" s="54" t="s">
        <v>187</v>
      </c>
      <c r="J121" s="54" t="s">
        <v>188</v>
      </c>
      <c r="K121" s="54" t="s">
        <v>189</v>
      </c>
      <c r="L121" s="54" t="s">
        <v>190</v>
      </c>
      <c r="M121" s="54" t="s">
        <v>191</v>
      </c>
      <c r="N121" s="54" t="s">
        <v>192</v>
      </c>
      <c r="O121" s="54" t="s">
        <v>193</v>
      </c>
      <c r="P121" s="54" t="s">
        <v>194</v>
      </c>
      <c r="Q121" s="54" t="s">
        <v>195</v>
      </c>
      <c r="R121" s="54" t="s">
        <v>196</v>
      </c>
      <c r="S121" s="80"/>
      <c r="T121" s="78"/>
    </row>
    <row r="122" spans="1:20" ht="17.25" customHeight="1" x14ac:dyDescent="0.2">
      <c r="A122" s="77"/>
      <c r="B122" s="83" t="s">
        <v>304</v>
      </c>
      <c r="C122" s="77"/>
      <c r="D122" s="85">
        <f>C122/0.8</f>
        <v>0</v>
      </c>
      <c r="E122" s="86" t="s">
        <v>291</v>
      </c>
      <c r="F122" s="48" t="s">
        <v>184</v>
      </c>
      <c r="G122" s="50" t="s">
        <v>185</v>
      </c>
      <c r="H122" s="50" t="s">
        <v>186</v>
      </c>
      <c r="I122" s="50" t="s">
        <v>187</v>
      </c>
      <c r="J122" s="50" t="s">
        <v>188</v>
      </c>
      <c r="K122" s="50" t="s">
        <v>189</v>
      </c>
      <c r="L122" s="50" t="s">
        <v>190</v>
      </c>
      <c r="M122" s="49" t="s">
        <v>191</v>
      </c>
      <c r="N122" s="49" t="s">
        <v>192</v>
      </c>
      <c r="O122" s="50" t="s">
        <v>193</v>
      </c>
      <c r="P122" s="50" t="s">
        <v>194</v>
      </c>
      <c r="Q122" s="50" t="s">
        <v>195</v>
      </c>
      <c r="R122" s="50" t="s">
        <v>196</v>
      </c>
      <c r="S122" s="84" t="s">
        <v>213</v>
      </c>
      <c r="T122" s="77"/>
    </row>
    <row r="123" spans="1:20" ht="17.25" customHeight="1" x14ac:dyDescent="0.2">
      <c r="A123" s="77"/>
      <c r="B123" s="83"/>
      <c r="C123" s="77"/>
      <c r="D123" s="85"/>
      <c r="E123" s="86"/>
      <c r="F123" s="51" t="s">
        <v>198</v>
      </c>
      <c r="G123" s="52" t="s">
        <v>185</v>
      </c>
      <c r="H123" s="52" t="s">
        <v>186</v>
      </c>
      <c r="I123" s="50" t="s">
        <v>187</v>
      </c>
      <c r="J123" s="50" t="s">
        <v>188</v>
      </c>
      <c r="K123" s="50" t="s">
        <v>189</v>
      </c>
      <c r="L123" s="50" t="s">
        <v>190</v>
      </c>
      <c r="M123" s="50" t="s">
        <v>191</v>
      </c>
      <c r="N123" s="50" t="s">
        <v>192</v>
      </c>
      <c r="O123" s="50" t="s">
        <v>193</v>
      </c>
      <c r="P123" s="50" t="s">
        <v>194</v>
      </c>
      <c r="Q123" s="50" t="s">
        <v>195</v>
      </c>
      <c r="R123" s="50" t="s">
        <v>196</v>
      </c>
      <c r="S123" s="84"/>
      <c r="T123" s="77"/>
    </row>
    <row r="124" spans="1:20" ht="17.25" customHeight="1" x14ac:dyDescent="0.2">
      <c r="A124" s="78"/>
      <c r="B124" s="79" t="s">
        <v>305</v>
      </c>
      <c r="C124" s="78"/>
      <c r="D124" s="81">
        <f>C124/0.8</f>
        <v>0</v>
      </c>
      <c r="E124" s="82" t="s">
        <v>291</v>
      </c>
      <c r="F124" s="53" t="s">
        <v>184</v>
      </c>
      <c r="G124" s="54" t="s">
        <v>185</v>
      </c>
      <c r="H124" s="54" t="s">
        <v>186</v>
      </c>
      <c r="I124" s="54" t="s">
        <v>187</v>
      </c>
      <c r="J124" s="54" t="s">
        <v>188</v>
      </c>
      <c r="K124" s="54" t="s">
        <v>189</v>
      </c>
      <c r="L124" s="54" t="s">
        <v>190</v>
      </c>
      <c r="M124" s="55" t="s">
        <v>191</v>
      </c>
      <c r="N124" s="55" t="s">
        <v>192</v>
      </c>
      <c r="O124" s="54" t="s">
        <v>193</v>
      </c>
      <c r="P124" s="54" t="s">
        <v>194</v>
      </c>
      <c r="Q124" s="54" t="s">
        <v>195</v>
      </c>
      <c r="R124" s="54" t="s">
        <v>196</v>
      </c>
      <c r="S124" s="80" t="s">
        <v>213</v>
      </c>
      <c r="T124" s="78"/>
    </row>
    <row r="125" spans="1:20" ht="17.25" customHeight="1" x14ac:dyDescent="0.2">
      <c r="A125" s="78"/>
      <c r="B125" s="79"/>
      <c r="C125" s="78"/>
      <c r="D125" s="81"/>
      <c r="E125" s="82"/>
      <c r="F125" s="56" t="s">
        <v>198</v>
      </c>
      <c r="G125" s="57" t="s">
        <v>185</v>
      </c>
      <c r="H125" s="57" t="s">
        <v>186</v>
      </c>
      <c r="I125" s="54" t="s">
        <v>187</v>
      </c>
      <c r="J125" s="54" t="s">
        <v>188</v>
      </c>
      <c r="K125" s="54" t="s">
        <v>189</v>
      </c>
      <c r="L125" s="54" t="s">
        <v>190</v>
      </c>
      <c r="M125" s="54" t="s">
        <v>191</v>
      </c>
      <c r="N125" s="54" t="s">
        <v>192</v>
      </c>
      <c r="O125" s="54" t="s">
        <v>193</v>
      </c>
      <c r="P125" s="54" t="s">
        <v>194</v>
      </c>
      <c r="Q125" s="54" t="s">
        <v>195</v>
      </c>
      <c r="R125" s="54" t="s">
        <v>196</v>
      </c>
      <c r="S125" s="80"/>
      <c r="T125" s="78"/>
    </row>
    <row r="126" spans="1:20" ht="17.25" customHeight="1" x14ac:dyDescent="0.2">
      <c r="A126" s="77"/>
      <c r="B126" s="83" t="s">
        <v>306</v>
      </c>
      <c r="C126" s="77"/>
      <c r="D126" s="85">
        <f>C126/0.8</f>
        <v>0</v>
      </c>
      <c r="E126" s="86" t="s">
        <v>291</v>
      </c>
      <c r="F126" s="48" t="s">
        <v>184</v>
      </c>
      <c r="G126" s="50" t="s">
        <v>185</v>
      </c>
      <c r="H126" s="50" t="s">
        <v>186</v>
      </c>
      <c r="I126" s="50" t="s">
        <v>187</v>
      </c>
      <c r="J126" s="50" t="s">
        <v>188</v>
      </c>
      <c r="K126" s="50" t="s">
        <v>189</v>
      </c>
      <c r="L126" s="50" t="s">
        <v>190</v>
      </c>
      <c r="M126" s="49" t="s">
        <v>191</v>
      </c>
      <c r="N126" s="49" t="s">
        <v>192</v>
      </c>
      <c r="O126" s="50" t="s">
        <v>193</v>
      </c>
      <c r="P126" s="50" t="s">
        <v>194</v>
      </c>
      <c r="Q126" s="50" t="s">
        <v>195</v>
      </c>
      <c r="R126" s="50" t="s">
        <v>196</v>
      </c>
      <c r="S126" s="84" t="s">
        <v>213</v>
      </c>
      <c r="T126" s="77"/>
    </row>
    <row r="127" spans="1:20" ht="17.25" customHeight="1" x14ac:dyDescent="0.2">
      <c r="A127" s="77"/>
      <c r="B127" s="83"/>
      <c r="C127" s="77"/>
      <c r="D127" s="85"/>
      <c r="E127" s="86"/>
      <c r="F127" s="51" t="s">
        <v>198</v>
      </c>
      <c r="G127" s="52" t="s">
        <v>185</v>
      </c>
      <c r="H127" s="52" t="s">
        <v>186</v>
      </c>
      <c r="I127" s="50" t="s">
        <v>187</v>
      </c>
      <c r="J127" s="50" t="s">
        <v>188</v>
      </c>
      <c r="K127" s="50" t="s">
        <v>189</v>
      </c>
      <c r="L127" s="50" t="s">
        <v>190</v>
      </c>
      <c r="M127" s="50" t="s">
        <v>191</v>
      </c>
      <c r="N127" s="50" t="s">
        <v>192</v>
      </c>
      <c r="O127" s="50" t="s">
        <v>193</v>
      </c>
      <c r="P127" s="50" t="s">
        <v>194</v>
      </c>
      <c r="Q127" s="50" t="s">
        <v>195</v>
      </c>
      <c r="R127" s="50" t="s">
        <v>196</v>
      </c>
      <c r="S127" s="84"/>
      <c r="T127" s="77"/>
    </row>
    <row r="128" spans="1:20" ht="17.25" customHeight="1" x14ac:dyDescent="0.2">
      <c r="A128" s="78"/>
      <c r="B128" s="79" t="s">
        <v>307</v>
      </c>
      <c r="C128" s="78"/>
      <c r="D128" s="81">
        <f>C128/0.8</f>
        <v>0</v>
      </c>
      <c r="E128" s="82" t="s">
        <v>291</v>
      </c>
      <c r="F128" s="53" t="s">
        <v>184</v>
      </c>
      <c r="G128" s="54" t="s">
        <v>185</v>
      </c>
      <c r="H128" s="54" t="s">
        <v>186</v>
      </c>
      <c r="I128" s="54" t="s">
        <v>187</v>
      </c>
      <c r="J128" s="54" t="s">
        <v>188</v>
      </c>
      <c r="K128" s="54" t="s">
        <v>189</v>
      </c>
      <c r="L128" s="54" t="s">
        <v>190</v>
      </c>
      <c r="M128" s="55" t="s">
        <v>191</v>
      </c>
      <c r="N128" s="55" t="s">
        <v>192</v>
      </c>
      <c r="O128" s="54" t="s">
        <v>193</v>
      </c>
      <c r="P128" s="54" t="s">
        <v>194</v>
      </c>
      <c r="Q128" s="54" t="s">
        <v>195</v>
      </c>
      <c r="R128" s="54" t="s">
        <v>196</v>
      </c>
      <c r="S128" s="80" t="s">
        <v>213</v>
      </c>
      <c r="T128" s="78"/>
    </row>
    <row r="129" spans="1:20" ht="17.25" customHeight="1" x14ac:dyDescent="0.2">
      <c r="A129" s="78"/>
      <c r="B129" s="79"/>
      <c r="C129" s="78"/>
      <c r="D129" s="81"/>
      <c r="E129" s="82"/>
      <c r="F129" s="56" t="s">
        <v>198</v>
      </c>
      <c r="G129" s="57" t="s">
        <v>185</v>
      </c>
      <c r="H129" s="57" t="s">
        <v>186</v>
      </c>
      <c r="I129" s="54" t="s">
        <v>187</v>
      </c>
      <c r="J129" s="54" t="s">
        <v>188</v>
      </c>
      <c r="K129" s="54" t="s">
        <v>189</v>
      </c>
      <c r="L129" s="54" t="s">
        <v>190</v>
      </c>
      <c r="M129" s="54" t="s">
        <v>191</v>
      </c>
      <c r="N129" s="54" t="s">
        <v>192</v>
      </c>
      <c r="O129" s="54" t="s">
        <v>193</v>
      </c>
      <c r="P129" s="54" t="s">
        <v>194</v>
      </c>
      <c r="Q129" s="54" t="s">
        <v>195</v>
      </c>
      <c r="R129" s="54" t="s">
        <v>196</v>
      </c>
      <c r="S129" s="80"/>
      <c r="T129" s="78"/>
    </row>
    <row r="130" spans="1:20" ht="17.25" customHeight="1" x14ac:dyDescent="0.2">
      <c r="A130" s="77"/>
      <c r="B130" s="83" t="s">
        <v>308</v>
      </c>
      <c r="C130" s="77"/>
      <c r="D130" s="85">
        <f>C130/0.8</f>
        <v>0</v>
      </c>
      <c r="E130" s="86" t="s">
        <v>291</v>
      </c>
      <c r="F130" s="48" t="s">
        <v>184</v>
      </c>
      <c r="G130" s="50" t="s">
        <v>185</v>
      </c>
      <c r="H130" s="50" t="s">
        <v>186</v>
      </c>
      <c r="I130" s="50" t="s">
        <v>187</v>
      </c>
      <c r="J130" s="50" t="s">
        <v>188</v>
      </c>
      <c r="K130" s="50" t="s">
        <v>189</v>
      </c>
      <c r="L130" s="50" t="s">
        <v>190</v>
      </c>
      <c r="M130" s="49" t="s">
        <v>191</v>
      </c>
      <c r="N130" s="49" t="s">
        <v>192</v>
      </c>
      <c r="O130" s="50" t="s">
        <v>193</v>
      </c>
      <c r="P130" s="50" t="s">
        <v>194</v>
      </c>
      <c r="Q130" s="50" t="s">
        <v>195</v>
      </c>
      <c r="R130" s="50" t="s">
        <v>196</v>
      </c>
      <c r="S130" s="84" t="s">
        <v>213</v>
      </c>
      <c r="T130" s="77"/>
    </row>
    <row r="131" spans="1:20" ht="17.25" customHeight="1" x14ac:dyDescent="0.2">
      <c r="A131" s="77"/>
      <c r="B131" s="83"/>
      <c r="C131" s="77"/>
      <c r="D131" s="85"/>
      <c r="E131" s="86"/>
      <c r="F131" s="51" t="s">
        <v>198</v>
      </c>
      <c r="G131" s="52" t="s">
        <v>185</v>
      </c>
      <c r="H131" s="52" t="s">
        <v>186</v>
      </c>
      <c r="I131" s="50" t="s">
        <v>187</v>
      </c>
      <c r="J131" s="50" t="s">
        <v>188</v>
      </c>
      <c r="K131" s="50" t="s">
        <v>189</v>
      </c>
      <c r="L131" s="50" t="s">
        <v>190</v>
      </c>
      <c r="M131" s="50" t="s">
        <v>191</v>
      </c>
      <c r="N131" s="50" t="s">
        <v>192</v>
      </c>
      <c r="O131" s="50" t="s">
        <v>193</v>
      </c>
      <c r="P131" s="50" t="s">
        <v>194</v>
      </c>
      <c r="Q131" s="50" t="s">
        <v>195</v>
      </c>
      <c r="R131" s="50" t="s">
        <v>196</v>
      </c>
      <c r="S131" s="84"/>
      <c r="T131" s="77"/>
    </row>
    <row r="132" spans="1:20" ht="17.25" customHeight="1" x14ac:dyDescent="0.2">
      <c r="A132" s="78"/>
      <c r="B132" s="79" t="s">
        <v>309</v>
      </c>
      <c r="C132" s="78"/>
      <c r="D132" s="81">
        <f>C132/0.8</f>
        <v>0</v>
      </c>
      <c r="E132" s="82" t="s">
        <v>291</v>
      </c>
      <c r="F132" s="53" t="s">
        <v>184</v>
      </c>
      <c r="G132" s="54" t="s">
        <v>185</v>
      </c>
      <c r="H132" s="54" t="s">
        <v>186</v>
      </c>
      <c r="I132" s="54" t="s">
        <v>187</v>
      </c>
      <c r="J132" s="54" t="s">
        <v>188</v>
      </c>
      <c r="K132" s="54" t="s">
        <v>189</v>
      </c>
      <c r="L132" s="54" t="s">
        <v>190</v>
      </c>
      <c r="M132" s="55" t="s">
        <v>191</v>
      </c>
      <c r="N132" s="55" t="s">
        <v>192</v>
      </c>
      <c r="O132" s="55" t="s">
        <v>193</v>
      </c>
      <c r="P132" s="55" t="s">
        <v>194</v>
      </c>
      <c r="Q132" s="55" t="s">
        <v>195</v>
      </c>
      <c r="R132" s="54" t="s">
        <v>196</v>
      </c>
      <c r="S132" s="87" t="s">
        <v>310</v>
      </c>
      <c r="T132" s="78"/>
    </row>
    <row r="133" spans="1:20" ht="17.25" customHeight="1" x14ac:dyDescent="0.2">
      <c r="A133" s="78"/>
      <c r="B133" s="79"/>
      <c r="C133" s="78"/>
      <c r="D133" s="81"/>
      <c r="E133" s="82"/>
      <c r="F133" s="56" t="s">
        <v>198</v>
      </c>
      <c r="G133" s="57" t="s">
        <v>185</v>
      </c>
      <c r="H133" s="57" t="s">
        <v>186</v>
      </c>
      <c r="I133" s="57" t="s">
        <v>187</v>
      </c>
      <c r="J133" s="57" t="s">
        <v>188</v>
      </c>
      <c r="K133" s="57" t="s">
        <v>189</v>
      </c>
      <c r="L133" s="54" t="s">
        <v>190</v>
      </c>
      <c r="M133" s="54" t="s">
        <v>191</v>
      </c>
      <c r="N133" s="54" t="s">
        <v>192</v>
      </c>
      <c r="O133" s="54" t="s">
        <v>193</v>
      </c>
      <c r="P133" s="54" t="s">
        <v>194</v>
      </c>
      <c r="Q133" s="54" t="s">
        <v>195</v>
      </c>
      <c r="R133" s="54" t="s">
        <v>196</v>
      </c>
      <c r="S133" s="87"/>
      <c r="T133" s="78"/>
    </row>
    <row r="134" spans="1:20" ht="17.25" customHeight="1" x14ac:dyDescent="0.2">
      <c r="A134" s="77"/>
      <c r="B134" s="83" t="s">
        <v>311</v>
      </c>
      <c r="C134" s="84">
        <v>480</v>
      </c>
      <c r="D134" s="85">
        <f>C134/0.8</f>
        <v>600</v>
      </c>
      <c r="E134" s="86" t="s">
        <v>312</v>
      </c>
      <c r="F134" s="48" t="s">
        <v>184</v>
      </c>
      <c r="G134" s="50" t="s">
        <v>185</v>
      </c>
      <c r="H134" s="50" t="s">
        <v>186</v>
      </c>
      <c r="I134" s="50" t="s">
        <v>187</v>
      </c>
      <c r="J134" s="50" t="s">
        <v>188</v>
      </c>
      <c r="K134" s="50" t="s">
        <v>189</v>
      </c>
      <c r="L134" s="50" t="s">
        <v>190</v>
      </c>
      <c r="M134" s="49" t="s">
        <v>191</v>
      </c>
      <c r="N134" s="49" t="s">
        <v>192</v>
      </c>
      <c r="O134" s="49" t="s">
        <v>193</v>
      </c>
      <c r="P134" s="50" t="s">
        <v>194</v>
      </c>
      <c r="Q134" s="50" t="s">
        <v>195</v>
      </c>
      <c r="R134" s="50" t="s">
        <v>196</v>
      </c>
      <c r="S134" s="84" t="s">
        <v>197</v>
      </c>
      <c r="T134" s="77"/>
    </row>
    <row r="135" spans="1:20" ht="17.25" customHeight="1" x14ac:dyDescent="0.2">
      <c r="A135" s="77"/>
      <c r="B135" s="83"/>
      <c r="C135" s="84"/>
      <c r="D135" s="85"/>
      <c r="E135" s="86"/>
      <c r="F135" s="51" t="s">
        <v>198</v>
      </c>
      <c r="G135" s="52" t="s">
        <v>185</v>
      </c>
      <c r="H135" s="52" t="s">
        <v>186</v>
      </c>
      <c r="I135" s="52" t="s">
        <v>187</v>
      </c>
      <c r="J135" s="50" t="s">
        <v>188</v>
      </c>
      <c r="K135" s="50" t="s">
        <v>189</v>
      </c>
      <c r="L135" s="50" t="s">
        <v>190</v>
      </c>
      <c r="M135" s="50" t="s">
        <v>191</v>
      </c>
      <c r="N135" s="50" t="s">
        <v>192</v>
      </c>
      <c r="O135" s="50" t="s">
        <v>193</v>
      </c>
      <c r="P135" s="50" t="s">
        <v>194</v>
      </c>
      <c r="Q135" s="50" t="s">
        <v>195</v>
      </c>
      <c r="R135" s="50" t="s">
        <v>196</v>
      </c>
      <c r="S135" s="84"/>
      <c r="T135" s="77"/>
    </row>
    <row r="136" spans="1:20" ht="17.25" customHeight="1" x14ac:dyDescent="0.2">
      <c r="A136" s="78"/>
      <c r="B136" s="79" t="s">
        <v>313</v>
      </c>
      <c r="C136" s="80">
        <v>480</v>
      </c>
      <c r="D136" s="81">
        <f>C136/0.8</f>
        <v>600</v>
      </c>
      <c r="E136" s="82" t="s">
        <v>314</v>
      </c>
      <c r="F136" s="53" t="s">
        <v>184</v>
      </c>
      <c r="G136" s="55" t="s">
        <v>185</v>
      </c>
      <c r="H136" s="55" t="s">
        <v>186</v>
      </c>
      <c r="I136" s="55" t="s">
        <v>187</v>
      </c>
      <c r="J136" s="55" t="s">
        <v>188</v>
      </c>
      <c r="K136" s="55" t="s">
        <v>189</v>
      </c>
      <c r="L136" s="55" t="s">
        <v>190</v>
      </c>
      <c r="M136" s="55" t="s">
        <v>191</v>
      </c>
      <c r="N136" s="55" t="s">
        <v>192</v>
      </c>
      <c r="O136" s="55" t="s">
        <v>193</v>
      </c>
      <c r="P136" s="55" t="s">
        <v>194</v>
      </c>
      <c r="Q136" s="55" t="s">
        <v>195</v>
      </c>
      <c r="R136" s="55" t="s">
        <v>196</v>
      </c>
      <c r="S136" s="80" t="s">
        <v>197</v>
      </c>
      <c r="T136" s="78"/>
    </row>
    <row r="137" spans="1:20" ht="17.25" customHeight="1" x14ac:dyDescent="0.2">
      <c r="A137" s="78"/>
      <c r="B137" s="79"/>
      <c r="C137" s="80"/>
      <c r="D137" s="81"/>
      <c r="E137" s="82"/>
      <c r="F137" s="56" t="s">
        <v>198</v>
      </c>
      <c r="G137" s="57" t="s">
        <v>185</v>
      </c>
      <c r="H137" s="57" t="s">
        <v>186</v>
      </c>
      <c r="I137" s="57" t="s">
        <v>187</v>
      </c>
      <c r="J137" s="57" t="s">
        <v>188</v>
      </c>
      <c r="K137" s="57" t="s">
        <v>189</v>
      </c>
      <c r="L137" s="57" t="s">
        <v>190</v>
      </c>
      <c r="M137" s="57" t="s">
        <v>191</v>
      </c>
      <c r="N137" s="57" t="s">
        <v>192</v>
      </c>
      <c r="O137" s="57" t="s">
        <v>193</v>
      </c>
      <c r="P137" s="57" t="s">
        <v>194</v>
      </c>
      <c r="Q137" s="57" t="s">
        <v>195</v>
      </c>
      <c r="R137" s="57" t="s">
        <v>196</v>
      </c>
      <c r="S137" s="80"/>
      <c r="T137" s="78"/>
    </row>
    <row r="138" spans="1:20" ht="17.25" customHeight="1" x14ac:dyDescent="0.2">
      <c r="A138" s="77"/>
      <c r="B138" s="83" t="s">
        <v>315</v>
      </c>
      <c r="C138" s="77"/>
      <c r="D138" s="85">
        <f>C138/0.8</f>
        <v>0</v>
      </c>
      <c r="E138" s="86" t="s">
        <v>316</v>
      </c>
      <c r="F138" s="48" t="s">
        <v>184</v>
      </c>
      <c r="G138" s="49" t="s">
        <v>185</v>
      </c>
      <c r="H138" s="49" t="s">
        <v>186</v>
      </c>
      <c r="I138" s="49" t="s">
        <v>187</v>
      </c>
      <c r="J138" s="49" t="s">
        <v>188</v>
      </c>
      <c r="K138" s="49" t="s">
        <v>189</v>
      </c>
      <c r="L138" s="49" t="s">
        <v>190</v>
      </c>
      <c r="M138" s="49" t="s">
        <v>191</v>
      </c>
      <c r="N138" s="49" t="s">
        <v>192</v>
      </c>
      <c r="O138" s="49" t="s">
        <v>193</v>
      </c>
      <c r="P138" s="49" t="s">
        <v>194</v>
      </c>
      <c r="Q138" s="49" t="s">
        <v>195</v>
      </c>
      <c r="R138" s="49" t="s">
        <v>196</v>
      </c>
      <c r="S138" s="84" t="s">
        <v>197</v>
      </c>
      <c r="T138" s="77"/>
    </row>
    <row r="139" spans="1:20" ht="17.25" customHeight="1" x14ac:dyDescent="0.2">
      <c r="A139" s="77"/>
      <c r="B139" s="83"/>
      <c r="C139" s="77"/>
      <c r="D139" s="85"/>
      <c r="E139" s="86"/>
      <c r="F139" s="51" t="s">
        <v>198</v>
      </c>
      <c r="G139" s="52" t="s">
        <v>185</v>
      </c>
      <c r="H139" s="52" t="s">
        <v>186</v>
      </c>
      <c r="I139" s="52" t="s">
        <v>187</v>
      </c>
      <c r="J139" s="52" t="s">
        <v>188</v>
      </c>
      <c r="K139" s="52" t="s">
        <v>189</v>
      </c>
      <c r="L139" s="52" t="s">
        <v>190</v>
      </c>
      <c r="M139" s="52" t="s">
        <v>191</v>
      </c>
      <c r="N139" s="52" t="s">
        <v>192</v>
      </c>
      <c r="O139" s="52" t="s">
        <v>193</v>
      </c>
      <c r="P139" s="52" t="s">
        <v>194</v>
      </c>
      <c r="Q139" s="52" t="s">
        <v>195</v>
      </c>
      <c r="R139" s="52" t="s">
        <v>196</v>
      </c>
      <c r="S139" s="84"/>
      <c r="T139" s="77"/>
    </row>
    <row r="140" spans="1:20" ht="17.25" customHeight="1" x14ac:dyDescent="0.2">
      <c r="A140" s="78"/>
      <c r="B140" s="79" t="s">
        <v>317</v>
      </c>
      <c r="C140" s="80">
        <v>800</v>
      </c>
      <c r="D140" s="81">
        <f>C140/0.8</f>
        <v>1000</v>
      </c>
      <c r="E140" s="82" t="s">
        <v>318</v>
      </c>
      <c r="F140" s="53" t="s">
        <v>184</v>
      </c>
      <c r="G140" s="55" t="s">
        <v>185</v>
      </c>
      <c r="H140" s="55" t="s">
        <v>186</v>
      </c>
      <c r="I140" s="55" t="s">
        <v>187</v>
      </c>
      <c r="J140" s="55" t="s">
        <v>188</v>
      </c>
      <c r="K140" s="55" t="s">
        <v>189</v>
      </c>
      <c r="L140" s="55" t="s">
        <v>190</v>
      </c>
      <c r="M140" s="55" t="s">
        <v>191</v>
      </c>
      <c r="N140" s="55" t="s">
        <v>192</v>
      </c>
      <c r="O140" s="55" t="s">
        <v>193</v>
      </c>
      <c r="P140" s="55" t="s">
        <v>194</v>
      </c>
      <c r="Q140" s="55" t="s">
        <v>195</v>
      </c>
      <c r="R140" s="55" t="s">
        <v>196</v>
      </c>
      <c r="S140" s="80" t="s">
        <v>233</v>
      </c>
      <c r="T140" s="78"/>
    </row>
    <row r="141" spans="1:20" ht="17.25" customHeight="1" x14ac:dyDescent="0.2">
      <c r="A141" s="78"/>
      <c r="B141" s="79"/>
      <c r="C141" s="80"/>
      <c r="D141" s="81"/>
      <c r="E141" s="82"/>
      <c r="F141" s="56" t="s">
        <v>198</v>
      </c>
      <c r="G141" s="57" t="s">
        <v>185</v>
      </c>
      <c r="H141" s="57" t="s">
        <v>186</v>
      </c>
      <c r="I141" s="57" t="s">
        <v>187</v>
      </c>
      <c r="J141" s="57" t="s">
        <v>188</v>
      </c>
      <c r="K141" s="57" t="s">
        <v>189</v>
      </c>
      <c r="L141" s="57" t="s">
        <v>190</v>
      </c>
      <c r="M141" s="57" t="s">
        <v>191</v>
      </c>
      <c r="N141" s="57" t="s">
        <v>192</v>
      </c>
      <c r="O141" s="57" t="s">
        <v>193</v>
      </c>
      <c r="P141" s="57" t="s">
        <v>194</v>
      </c>
      <c r="Q141" s="57" t="s">
        <v>195</v>
      </c>
      <c r="R141" s="57" t="s">
        <v>196</v>
      </c>
      <c r="S141" s="80"/>
      <c r="T141" s="78"/>
    </row>
    <row r="142" spans="1:20" ht="17.25" customHeight="1" x14ac:dyDescent="0.2">
      <c r="A142" s="77"/>
      <c r="B142" s="83" t="s">
        <v>319</v>
      </c>
      <c r="C142" s="84">
        <v>160</v>
      </c>
      <c r="D142" s="85">
        <f>C142/0.8</f>
        <v>200</v>
      </c>
      <c r="E142" s="86" t="s">
        <v>320</v>
      </c>
      <c r="F142" s="48" t="s">
        <v>184</v>
      </c>
      <c r="G142" s="49" t="s">
        <v>185</v>
      </c>
      <c r="H142" s="49" t="s">
        <v>186</v>
      </c>
      <c r="I142" s="49" t="s">
        <v>187</v>
      </c>
      <c r="J142" s="49" t="s">
        <v>188</v>
      </c>
      <c r="K142" s="49" t="s">
        <v>189</v>
      </c>
      <c r="L142" s="49" t="s">
        <v>190</v>
      </c>
      <c r="M142" s="49" t="s">
        <v>191</v>
      </c>
      <c r="N142" s="49" t="s">
        <v>192</v>
      </c>
      <c r="O142" s="49" t="s">
        <v>193</v>
      </c>
      <c r="P142" s="49" t="s">
        <v>194</v>
      </c>
      <c r="Q142" s="49" t="s">
        <v>195</v>
      </c>
      <c r="R142" s="49" t="s">
        <v>196</v>
      </c>
      <c r="S142" s="84" t="s">
        <v>197</v>
      </c>
      <c r="T142" s="77"/>
    </row>
    <row r="143" spans="1:20" ht="17.25" customHeight="1" x14ac:dyDescent="0.2">
      <c r="A143" s="77"/>
      <c r="B143" s="83"/>
      <c r="C143" s="84"/>
      <c r="D143" s="85"/>
      <c r="E143" s="86"/>
      <c r="F143" s="51" t="s">
        <v>198</v>
      </c>
      <c r="G143" s="52" t="s">
        <v>185</v>
      </c>
      <c r="H143" s="52" t="s">
        <v>186</v>
      </c>
      <c r="I143" s="52" t="s">
        <v>187</v>
      </c>
      <c r="J143" s="52" t="s">
        <v>188</v>
      </c>
      <c r="K143" s="52" t="s">
        <v>189</v>
      </c>
      <c r="L143" s="52" t="s">
        <v>190</v>
      </c>
      <c r="M143" s="52" t="s">
        <v>191</v>
      </c>
      <c r="N143" s="52" t="s">
        <v>192</v>
      </c>
      <c r="O143" s="52" t="s">
        <v>193</v>
      </c>
      <c r="P143" s="52" t="s">
        <v>194</v>
      </c>
      <c r="Q143" s="52" t="s">
        <v>195</v>
      </c>
      <c r="R143" s="52" t="s">
        <v>196</v>
      </c>
      <c r="S143" s="84"/>
      <c r="T143" s="77"/>
    </row>
    <row r="144" spans="1:20" ht="17.25" customHeight="1" x14ac:dyDescent="0.2">
      <c r="A144" s="78"/>
      <c r="B144" s="79" t="s">
        <v>321</v>
      </c>
      <c r="C144" s="80">
        <v>48</v>
      </c>
      <c r="D144" s="81">
        <f>C144/0.8</f>
        <v>60</v>
      </c>
      <c r="E144" s="82" t="s">
        <v>322</v>
      </c>
      <c r="F144" s="53" t="s">
        <v>184</v>
      </c>
      <c r="G144" s="55" t="s">
        <v>185</v>
      </c>
      <c r="H144" s="55" t="s">
        <v>186</v>
      </c>
      <c r="I144" s="55" t="s">
        <v>187</v>
      </c>
      <c r="J144" s="55" t="s">
        <v>188</v>
      </c>
      <c r="K144" s="55" t="s">
        <v>189</v>
      </c>
      <c r="L144" s="55" t="s">
        <v>190</v>
      </c>
      <c r="M144" s="55" t="s">
        <v>191</v>
      </c>
      <c r="N144" s="55" t="s">
        <v>192</v>
      </c>
      <c r="O144" s="55" t="s">
        <v>193</v>
      </c>
      <c r="P144" s="55" t="s">
        <v>194</v>
      </c>
      <c r="Q144" s="55" t="s">
        <v>195</v>
      </c>
      <c r="R144" s="55" t="s">
        <v>196</v>
      </c>
      <c r="S144" s="80" t="s">
        <v>197</v>
      </c>
      <c r="T144" s="78"/>
    </row>
    <row r="145" spans="1:20" ht="17.25" customHeight="1" x14ac:dyDescent="0.2">
      <c r="A145" s="78"/>
      <c r="B145" s="79"/>
      <c r="C145" s="80"/>
      <c r="D145" s="81"/>
      <c r="E145" s="82"/>
      <c r="F145" s="56" t="s">
        <v>198</v>
      </c>
      <c r="G145" s="57" t="s">
        <v>185</v>
      </c>
      <c r="H145" s="57" t="s">
        <v>186</v>
      </c>
      <c r="I145" s="57" t="s">
        <v>187</v>
      </c>
      <c r="J145" s="57" t="s">
        <v>188</v>
      </c>
      <c r="K145" s="57" t="s">
        <v>189</v>
      </c>
      <c r="L145" s="57" t="s">
        <v>190</v>
      </c>
      <c r="M145" s="57" t="s">
        <v>191</v>
      </c>
      <c r="N145" s="57" t="s">
        <v>192</v>
      </c>
      <c r="O145" s="57" t="s">
        <v>193</v>
      </c>
      <c r="P145" s="57" t="s">
        <v>194</v>
      </c>
      <c r="Q145" s="57" t="s">
        <v>195</v>
      </c>
      <c r="R145" s="57" t="s">
        <v>196</v>
      </c>
      <c r="S145" s="80"/>
      <c r="T145" s="78"/>
    </row>
    <row r="146" spans="1:20" ht="17.25" customHeight="1" x14ac:dyDescent="0.2">
      <c r="A146" s="77"/>
      <c r="B146" s="83" t="s">
        <v>323</v>
      </c>
      <c r="C146" s="84">
        <v>104</v>
      </c>
      <c r="D146" s="85">
        <f>C146/0.8</f>
        <v>130</v>
      </c>
      <c r="E146" s="86" t="s">
        <v>324</v>
      </c>
      <c r="F146" s="48" t="s">
        <v>184</v>
      </c>
      <c r="G146" s="50" t="s">
        <v>185</v>
      </c>
      <c r="H146" s="50" t="s">
        <v>186</v>
      </c>
      <c r="I146" s="50" t="s">
        <v>187</v>
      </c>
      <c r="J146" s="50" t="s">
        <v>188</v>
      </c>
      <c r="K146" s="50" t="s">
        <v>189</v>
      </c>
      <c r="L146" s="49" t="s">
        <v>190</v>
      </c>
      <c r="M146" s="49" t="s">
        <v>191</v>
      </c>
      <c r="N146" s="49" t="s">
        <v>192</v>
      </c>
      <c r="O146" s="49" t="s">
        <v>193</v>
      </c>
      <c r="P146" s="50" t="s">
        <v>194</v>
      </c>
      <c r="Q146" s="50" t="s">
        <v>195</v>
      </c>
      <c r="R146" s="50" t="s">
        <v>196</v>
      </c>
      <c r="S146" s="84" t="s">
        <v>325</v>
      </c>
      <c r="T146" s="77"/>
    </row>
    <row r="147" spans="1:20" ht="17.25" customHeight="1" x14ac:dyDescent="0.2">
      <c r="A147" s="77"/>
      <c r="B147" s="83"/>
      <c r="C147" s="84"/>
      <c r="D147" s="85"/>
      <c r="E147" s="86"/>
      <c r="F147" s="51" t="s">
        <v>198</v>
      </c>
      <c r="G147" s="52" t="s">
        <v>185</v>
      </c>
      <c r="H147" s="52" t="s">
        <v>186</v>
      </c>
      <c r="I147" s="52" t="s">
        <v>187</v>
      </c>
      <c r="J147" s="50" t="s">
        <v>188</v>
      </c>
      <c r="K147" s="50" t="s">
        <v>189</v>
      </c>
      <c r="L147" s="50" t="s">
        <v>190</v>
      </c>
      <c r="M147" s="50" t="s">
        <v>191</v>
      </c>
      <c r="N147" s="50" t="s">
        <v>192</v>
      </c>
      <c r="O147" s="50" t="s">
        <v>193</v>
      </c>
      <c r="P147" s="50" t="s">
        <v>194</v>
      </c>
      <c r="Q147" s="50" t="s">
        <v>195</v>
      </c>
      <c r="R147" s="52" t="s">
        <v>196</v>
      </c>
      <c r="S147" s="84"/>
      <c r="T147" s="77"/>
    </row>
    <row r="148" spans="1:20" ht="17.25" customHeight="1" x14ac:dyDescent="0.2">
      <c r="A148" s="78"/>
      <c r="B148" s="79" t="s">
        <v>326</v>
      </c>
      <c r="C148" s="78"/>
      <c r="D148" s="81">
        <f>C148/0.8</f>
        <v>0</v>
      </c>
      <c r="E148" s="82" t="s">
        <v>327</v>
      </c>
      <c r="F148" s="53" t="s">
        <v>184</v>
      </c>
      <c r="G148" s="54" t="s">
        <v>185</v>
      </c>
      <c r="H148" s="54" t="s">
        <v>186</v>
      </c>
      <c r="I148" s="54" t="s">
        <v>187</v>
      </c>
      <c r="J148" s="55" t="s">
        <v>188</v>
      </c>
      <c r="K148" s="55" t="s">
        <v>189</v>
      </c>
      <c r="L148" s="55" t="s">
        <v>190</v>
      </c>
      <c r="M148" s="55" t="s">
        <v>191</v>
      </c>
      <c r="N148" s="55" t="s">
        <v>192</v>
      </c>
      <c r="O148" s="55" t="s">
        <v>193</v>
      </c>
      <c r="P148" s="55" t="s">
        <v>194</v>
      </c>
      <c r="Q148" s="55" t="s">
        <v>195</v>
      </c>
      <c r="R148" s="54" t="s">
        <v>196</v>
      </c>
      <c r="S148" s="80" t="s">
        <v>197</v>
      </c>
      <c r="T148" s="78"/>
    </row>
    <row r="149" spans="1:20" ht="17.25" customHeight="1" x14ac:dyDescent="0.2">
      <c r="A149" s="78"/>
      <c r="B149" s="79"/>
      <c r="C149" s="78"/>
      <c r="D149" s="81"/>
      <c r="E149" s="82"/>
      <c r="F149" s="56" t="s">
        <v>198</v>
      </c>
      <c r="G149" s="57" t="s">
        <v>185</v>
      </c>
      <c r="H149" s="57" t="s">
        <v>186</v>
      </c>
      <c r="I149" s="57" t="s">
        <v>187</v>
      </c>
      <c r="J149" s="57" t="s">
        <v>188</v>
      </c>
      <c r="K149" s="57" t="s">
        <v>189</v>
      </c>
      <c r="L149" s="54" t="s">
        <v>190</v>
      </c>
      <c r="M149" s="54" t="s">
        <v>191</v>
      </c>
      <c r="N149" s="54" t="s">
        <v>192</v>
      </c>
      <c r="O149" s="54" t="s">
        <v>193</v>
      </c>
      <c r="P149" s="57" t="s">
        <v>194</v>
      </c>
      <c r="Q149" s="57" t="s">
        <v>195</v>
      </c>
      <c r="R149" s="57" t="s">
        <v>196</v>
      </c>
      <c r="S149" s="80"/>
      <c r="T149" s="78"/>
    </row>
    <row r="150" spans="1:20" ht="17.25" customHeight="1" x14ac:dyDescent="0.2">
      <c r="A150" s="77"/>
      <c r="B150" s="83" t="s">
        <v>328</v>
      </c>
      <c r="C150" s="84">
        <v>200</v>
      </c>
      <c r="D150" s="85">
        <f>C150/0.8</f>
        <v>250</v>
      </c>
      <c r="E150" s="86" t="s">
        <v>254</v>
      </c>
      <c r="F150" s="48" t="s">
        <v>184</v>
      </c>
      <c r="G150" s="49" t="s">
        <v>185</v>
      </c>
      <c r="H150" s="49" t="s">
        <v>186</v>
      </c>
      <c r="I150" s="49" t="s">
        <v>187</v>
      </c>
      <c r="J150" s="49" t="s">
        <v>188</v>
      </c>
      <c r="K150" s="49" t="s">
        <v>189</v>
      </c>
      <c r="L150" s="50" t="s">
        <v>190</v>
      </c>
      <c r="M150" s="50" t="s">
        <v>191</v>
      </c>
      <c r="N150" s="50" t="s">
        <v>192</v>
      </c>
      <c r="O150" s="49" t="s">
        <v>193</v>
      </c>
      <c r="P150" s="49" t="s">
        <v>194</v>
      </c>
      <c r="Q150" s="49" t="s">
        <v>195</v>
      </c>
      <c r="R150" s="49" t="s">
        <v>196</v>
      </c>
      <c r="S150" s="84" t="s">
        <v>197</v>
      </c>
      <c r="T150" s="77"/>
    </row>
    <row r="151" spans="1:20" ht="17.25" customHeight="1" x14ac:dyDescent="0.2">
      <c r="A151" s="77"/>
      <c r="B151" s="83"/>
      <c r="C151" s="84"/>
      <c r="D151" s="85"/>
      <c r="E151" s="86"/>
      <c r="F151" s="51" t="s">
        <v>198</v>
      </c>
      <c r="G151" s="52" t="s">
        <v>185</v>
      </c>
      <c r="H151" s="52" t="s">
        <v>186</v>
      </c>
      <c r="I151" s="52" t="s">
        <v>187</v>
      </c>
      <c r="J151" s="52" t="s">
        <v>188</v>
      </c>
      <c r="K151" s="52" t="s">
        <v>189</v>
      </c>
      <c r="L151" s="52" t="s">
        <v>190</v>
      </c>
      <c r="M151" s="52" t="s">
        <v>191</v>
      </c>
      <c r="N151" s="52" t="s">
        <v>192</v>
      </c>
      <c r="O151" s="52" t="s">
        <v>193</v>
      </c>
      <c r="P151" s="52" t="s">
        <v>194</v>
      </c>
      <c r="Q151" s="52" t="s">
        <v>195</v>
      </c>
      <c r="R151" s="52" t="s">
        <v>196</v>
      </c>
      <c r="S151" s="84"/>
      <c r="T151" s="77"/>
    </row>
    <row r="152" spans="1:20" ht="17.25" customHeight="1" x14ac:dyDescent="0.2">
      <c r="A152" s="78"/>
      <c r="B152" s="79" t="s">
        <v>329</v>
      </c>
      <c r="C152" s="80">
        <v>200</v>
      </c>
      <c r="D152" s="81">
        <f>C152/0.8</f>
        <v>250</v>
      </c>
      <c r="E152" s="82" t="s">
        <v>330</v>
      </c>
      <c r="F152" s="53" t="s">
        <v>184</v>
      </c>
      <c r="G152" s="55" t="s">
        <v>185</v>
      </c>
      <c r="H152" s="55" t="s">
        <v>186</v>
      </c>
      <c r="I152" s="55" t="s">
        <v>187</v>
      </c>
      <c r="J152" s="55" t="s">
        <v>188</v>
      </c>
      <c r="K152" s="55" t="s">
        <v>189</v>
      </c>
      <c r="L152" s="55" t="s">
        <v>190</v>
      </c>
      <c r="M152" s="54" t="s">
        <v>191</v>
      </c>
      <c r="N152" s="54" t="s">
        <v>192</v>
      </c>
      <c r="O152" s="55" t="s">
        <v>193</v>
      </c>
      <c r="P152" s="55" t="s">
        <v>194</v>
      </c>
      <c r="Q152" s="55" t="s">
        <v>195</v>
      </c>
      <c r="R152" s="55" t="s">
        <v>196</v>
      </c>
      <c r="S152" s="80" t="s">
        <v>331</v>
      </c>
      <c r="T152" s="78"/>
    </row>
    <row r="153" spans="1:20" ht="17.25" customHeight="1" x14ac:dyDescent="0.2">
      <c r="A153" s="78"/>
      <c r="B153" s="79"/>
      <c r="C153" s="80"/>
      <c r="D153" s="81"/>
      <c r="E153" s="82"/>
      <c r="F153" s="56" t="s">
        <v>198</v>
      </c>
      <c r="G153" s="54" t="s">
        <v>185</v>
      </c>
      <c r="H153" s="54" t="s">
        <v>186</v>
      </c>
      <c r="I153" s="57" t="s">
        <v>187</v>
      </c>
      <c r="J153" s="57" t="s">
        <v>188</v>
      </c>
      <c r="K153" s="57" t="s">
        <v>189</v>
      </c>
      <c r="L153" s="57" t="s">
        <v>190</v>
      </c>
      <c r="M153" s="57" t="s">
        <v>191</v>
      </c>
      <c r="N153" s="57" t="s">
        <v>192</v>
      </c>
      <c r="O153" s="57" t="s">
        <v>193</v>
      </c>
      <c r="P153" s="57" t="s">
        <v>194</v>
      </c>
      <c r="Q153" s="57" t="s">
        <v>195</v>
      </c>
      <c r="R153" s="57" t="s">
        <v>196</v>
      </c>
      <c r="S153" s="80"/>
      <c r="T153" s="78"/>
    </row>
    <row r="154" spans="1:20" ht="17.25" customHeight="1" x14ac:dyDescent="0.2">
      <c r="A154" s="77"/>
      <c r="B154" s="83" t="s">
        <v>332</v>
      </c>
      <c r="C154" s="84">
        <v>240</v>
      </c>
      <c r="D154" s="85">
        <f>C154/0.8</f>
        <v>300</v>
      </c>
      <c r="E154" s="86" t="s">
        <v>333</v>
      </c>
      <c r="F154" s="48" t="s">
        <v>184</v>
      </c>
      <c r="G154" s="49" t="s">
        <v>185</v>
      </c>
      <c r="H154" s="49" t="s">
        <v>186</v>
      </c>
      <c r="I154" s="49" t="s">
        <v>187</v>
      </c>
      <c r="J154" s="49" t="s">
        <v>188</v>
      </c>
      <c r="K154" s="49" t="s">
        <v>189</v>
      </c>
      <c r="L154" s="49" t="s">
        <v>190</v>
      </c>
      <c r="M154" s="50" t="s">
        <v>191</v>
      </c>
      <c r="N154" s="50" t="s">
        <v>192</v>
      </c>
      <c r="O154" s="49" t="s">
        <v>193</v>
      </c>
      <c r="P154" s="49" t="s">
        <v>194</v>
      </c>
      <c r="Q154" s="49" t="s">
        <v>195</v>
      </c>
      <c r="R154" s="49" t="s">
        <v>196</v>
      </c>
      <c r="S154" s="84" t="s">
        <v>334</v>
      </c>
      <c r="T154" s="77"/>
    </row>
    <row r="155" spans="1:20" ht="17.25" customHeight="1" x14ac:dyDescent="0.2">
      <c r="A155" s="77"/>
      <c r="B155" s="83"/>
      <c r="C155" s="84"/>
      <c r="D155" s="85"/>
      <c r="E155" s="86"/>
      <c r="F155" s="51" t="s">
        <v>198</v>
      </c>
      <c r="G155" s="50" t="s">
        <v>185</v>
      </c>
      <c r="H155" s="50" t="s">
        <v>186</v>
      </c>
      <c r="I155" s="52" t="s">
        <v>187</v>
      </c>
      <c r="J155" s="52" t="s">
        <v>188</v>
      </c>
      <c r="K155" s="52" t="s">
        <v>189</v>
      </c>
      <c r="L155" s="52" t="s">
        <v>190</v>
      </c>
      <c r="M155" s="52" t="s">
        <v>191</v>
      </c>
      <c r="N155" s="52" t="s">
        <v>192</v>
      </c>
      <c r="O155" s="52" t="s">
        <v>193</v>
      </c>
      <c r="P155" s="52" t="s">
        <v>194</v>
      </c>
      <c r="Q155" s="52" t="s">
        <v>195</v>
      </c>
      <c r="R155" s="52" t="s">
        <v>196</v>
      </c>
      <c r="S155" s="84"/>
      <c r="T155" s="77"/>
    </row>
    <row r="156" spans="1:20" ht="17.25" customHeight="1" x14ac:dyDescent="0.2">
      <c r="A156" s="78"/>
      <c r="B156" s="79" t="s">
        <v>335</v>
      </c>
      <c r="C156" s="80">
        <v>480</v>
      </c>
      <c r="D156" s="81">
        <f>C156/0.8</f>
        <v>600</v>
      </c>
      <c r="E156" s="82" t="s">
        <v>314</v>
      </c>
      <c r="F156" s="53" t="s">
        <v>184</v>
      </c>
      <c r="G156" s="55" t="s">
        <v>185</v>
      </c>
      <c r="H156" s="55" t="s">
        <v>186</v>
      </c>
      <c r="I156" s="55" t="s">
        <v>187</v>
      </c>
      <c r="J156" s="55" t="s">
        <v>188</v>
      </c>
      <c r="K156" s="55" t="s">
        <v>189</v>
      </c>
      <c r="L156" s="55" t="s">
        <v>190</v>
      </c>
      <c r="M156" s="55" t="s">
        <v>191</v>
      </c>
      <c r="N156" s="55" t="s">
        <v>192</v>
      </c>
      <c r="O156" s="55" t="s">
        <v>193</v>
      </c>
      <c r="P156" s="55" t="s">
        <v>194</v>
      </c>
      <c r="Q156" s="55" t="s">
        <v>195</v>
      </c>
      <c r="R156" s="55" t="s">
        <v>196</v>
      </c>
      <c r="S156" s="80" t="s">
        <v>336</v>
      </c>
      <c r="T156" s="78"/>
    </row>
    <row r="157" spans="1:20" ht="17.25" customHeight="1" x14ac:dyDescent="0.2">
      <c r="A157" s="78"/>
      <c r="B157" s="79"/>
      <c r="C157" s="80"/>
      <c r="D157" s="81"/>
      <c r="E157" s="82"/>
      <c r="F157" s="56" t="s">
        <v>198</v>
      </c>
      <c r="G157" s="57" t="s">
        <v>185</v>
      </c>
      <c r="H157" s="57" t="s">
        <v>186</v>
      </c>
      <c r="I157" s="57" t="s">
        <v>187</v>
      </c>
      <c r="J157" s="57" t="s">
        <v>188</v>
      </c>
      <c r="K157" s="57" t="s">
        <v>189</v>
      </c>
      <c r="L157" s="57" t="s">
        <v>190</v>
      </c>
      <c r="M157" s="57" t="s">
        <v>191</v>
      </c>
      <c r="N157" s="57" t="s">
        <v>192</v>
      </c>
      <c r="O157" s="57" t="s">
        <v>193</v>
      </c>
      <c r="P157" s="57" t="s">
        <v>194</v>
      </c>
      <c r="Q157" s="57" t="s">
        <v>195</v>
      </c>
      <c r="R157" s="57" t="s">
        <v>196</v>
      </c>
      <c r="S157" s="80"/>
      <c r="T157" s="78"/>
    </row>
    <row r="158" spans="1:20" ht="17.25" customHeight="1" x14ac:dyDescent="0.2">
      <c r="A158" s="77"/>
      <c r="B158" s="83" t="s">
        <v>337</v>
      </c>
      <c r="C158" s="84">
        <v>6400</v>
      </c>
      <c r="D158" s="85">
        <f>C158/0.8</f>
        <v>8000</v>
      </c>
      <c r="E158" s="86" t="s">
        <v>338</v>
      </c>
      <c r="F158" s="48" t="s">
        <v>184</v>
      </c>
      <c r="G158" s="49" t="s">
        <v>185</v>
      </c>
      <c r="H158" s="49" t="s">
        <v>186</v>
      </c>
      <c r="I158" s="49" t="s">
        <v>187</v>
      </c>
      <c r="J158" s="49" t="s">
        <v>188</v>
      </c>
      <c r="K158" s="50" t="s">
        <v>189</v>
      </c>
      <c r="L158" s="50" t="s">
        <v>190</v>
      </c>
      <c r="M158" s="50" t="s">
        <v>191</v>
      </c>
      <c r="N158" s="50" t="s">
        <v>192</v>
      </c>
      <c r="O158" s="50" t="s">
        <v>193</v>
      </c>
      <c r="P158" s="50" t="s">
        <v>194</v>
      </c>
      <c r="Q158" s="49" t="s">
        <v>195</v>
      </c>
      <c r="R158" s="49" t="s">
        <v>196</v>
      </c>
      <c r="S158" s="84" t="s">
        <v>339</v>
      </c>
      <c r="T158" s="77"/>
    </row>
    <row r="159" spans="1:20" ht="17.25" customHeight="1" x14ac:dyDescent="0.2">
      <c r="A159" s="77"/>
      <c r="B159" s="83"/>
      <c r="C159" s="84"/>
      <c r="D159" s="85"/>
      <c r="E159" s="86"/>
      <c r="F159" s="51" t="s">
        <v>198</v>
      </c>
      <c r="G159" s="50" t="s">
        <v>185</v>
      </c>
      <c r="H159" s="50" t="s">
        <v>186</v>
      </c>
      <c r="I159" s="50" t="s">
        <v>187</v>
      </c>
      <c r="J159" s="50" t="s">
        <v>188</v>
      </c>
      <c r="K159" s="52" t="s">
        <v>189</v>
      </c>
      <c r="L159" s="52" t="s">
        <v>190</v>
      </c>
      <c r="M159" s="52" t="s">
        <v>191</v>
      </c>
      <c r="N159" s="52" t="s">
        <v>192</v>
      </c>
      <c r="O159" s="52" t="s">
        <v>193</v>
      </c>
      <c r="P159" s="52" t="s">
        <v>194</v>
      </c>
      <c r="Q159" s="50" t="s">
        <v>195</v>
      </c>
      <c r="R159" s="50" t="s">
        <v>196</v>
      </c>
      <c r="S159" s="84"/>
      <c r="T159" s="77"/>
    </row>
    <row r="160" spans="1:20" ht="17.25" customHeight="1" x14ac:dyDescent="0.2">
      <c r="A160" s="78"/>
      <c r="B160" s="79" t="s">
        <v>340</v>
      </c>
      <c r="C160" s="80">
        <v>6400</v>
      </c>
      <c r="D160" s="81">
        <f>C160/0.8</f>
        <v>8000</v>
      </c>
      <c r="E160" s="82" t="s">
        <v>338</v>
      </c>
      <c r="F160" s="53" t="s">
        <v>184</v>
      </c>
      <c r="G160" s="54" t="s">
        <v>185</v>
      </c>
      <c r="H160" s="54" t="s">
        <v>186</v>
      </c>
      <c r="I160" s="54" t="s">
        <v>187</v>
      </c>
      <c r="J160" s="54" t="s">
        <v>188</v>
      </c>
      <c r="K160" s="55" t="s">
        <v>189</v>
      </c>
      <c r="L160" s="55" t="s">
        <v>190</v>
      </c>
      <c r="M160" s="55" t="s">
        <v>191</v>
      </c>
      <c r="N160" s="55" t="s">
        <v>192</v>
      </c>
      <c r="O160" s="55" t="s">
        <v>193</v>
      </c>
      <c r="P160" s="55" t="s">
        <v>194</v>
      </c>
      <c r="Q160" s="54" t="s">
        <v>195</v>
      </c>
      <c r="R160" s="54" t="s">
        <v>196</v>
      </c>
      <c r="S160" s="80" t="s">
        <v>339</v>
      </c>
      <c r="T160" s="78"/>
    </row>
    <row r="161" spans="1:20" ht="17.25" customHeight="1" x14ac:dyDescent="0.2">
      <c r="A161" s="78"/>
      <c r="B161" s="79"/>
      <c r="C161" s="80"/>
      <c r="D161" s="81"/>
      <c r="E161" s="82"/>
      <c r="F161" s="56" t="s">
        <v>198</v>
      </c>
      <c r="G161" s="57" t="s">
        <v>185</v>
      </c>
      <c r="H161" s="57" t="s">
        <v>186</v>
      </c>
      <c r="I161" s="57" t="s">
        <v>187</v>
      </c>
      <c r="J161" s="57" t="s">
        <v>188</v>
      </c>
      <c r="K161" s="54" t="s">
        <v>189</v>
      </c>
      <c r="L161" s="54" t="s">
        <v>190</v>
      </c>
      <c r="M161" s="54" t="s">
        <v>191</v>
      </c>
      <c r="N161" s="54" t="s">
        <v>192</v>
      </c>
      <c r="O161" s="54" t="s">
        <v>193</v>
      </c>
      <c r="P161" s="54" t="s">
        <v>194</v>
      </c>
      <c r="Q161" s="57" t="s">
        <v>195</v>
      </c>
      <c r="R161" s="57" t="s">
        <v>196</v>
      </c>
      <c r="S161" s="80"/>
      <c r="T161" s="78"/>
    </row>
    <row r="162" spans="1:20" ht="17.25" customHeight="1" x14ac:dyDescent="0.2">
      <c r="A162" s="58"/>
      <c r="B162" s="58" t="s">
        <v>177</v>
      </c>
      <c r="C162" s="59"/>
      <c r="D162" s="60"/>
      <c r="E162" s="61"/>
      <c r="F162" s="56"/>
      <c r="G162" s="57"/>
      <c r="H162" s="57"/>
      <c r="I162" s="57"/>
      <c r="J162" s="57"/>
      <c r="K162" s="54"/>
      <c r="L162" s="54"/>
      <c r="M162" s="54"/>
      <c r="N162" s="54"/>
      <c r="O162" s="54"/>
      <c r="P162" s="54"/>
      <c r="Q162" s="57"/>
      <c r="R162" s="57"/>
      <c r="S162" s="59"/>
      <c r="T162" s="59"/>
    </row>
  </sheetData>
  <mergeCells count="561">
    <mergeCell ref="F1:R1"/>
    <mergeCell ref="A2:A3"/>
    <mergeCell ref="B2:B3"/>
    <mergeCell ref="C2:C3"/>
    <mergeCell ref="D2:D3"/>
    <mergeCell ref="E2:E3"/>
    <mergeCell ref="S2:S3"/>
    <mergeCell ref="T2:T3"/>
    <mergeCell ref="A4:A5"/>
    <mergeCell ref="B4:B5"/>
    <mergeCell ref="C4:C5"/>
    <mergeCell ref="D4:D5"/>
    <mergeCell ref="E4:E5"/>
    <mergeCell ref="S4:S5"/>
    <mergeCell ref="T4:T5"/>
    <mergeCell ref="T6:T7"/>
    <mergeCell ref="A8:A9"/>
    <mergeCell ref="B8:B9"/>
    <mergeCell ref="C8:C9"/>
    <mergeCell ref="D8:D9"/>
    <mergeCell ref="E8:E9"/>
    <mergeCell ref="S8:S9"/>
    <mergeCell ref="T8:T9"/>
    <mergeCell ref="A6:A7"/>
    <mergeCell ref="B6:B7"/>
    <mergeCell ref="C6:C7"/>
    <mergeCell ref="D6:D7"/>
    <mergeCell ref="E6:E7"/>
    <mergeCell ref="S6:S7"/>
    <mergeCell ref="T10:T11"/>
    <mergeCell ref="A12:A13"/>
    <mergeCell ref="B12:B13"/>
    <mergeCell ref="C12:C13"/>
    <mergeCell ref="D12:D13"/>
    <mergeCell ref="E12:E13"/>
    <mergeCell ref="S12:S13"/>
    <mergeCell ref="T12:T13"/>
    <mergeCell ref="A10:A11"/>
    <mergeCell ref="B10:B11"/>
    <mergeCell ref="C10:C11"/>
    <mergeCell ref="D10:D11"/>
    <mergeCell ref="E10:E11"/>
    <mergeCell ref="S10:S11"/>
    <mergeCell ref="T14:T15"/>
    <mergeCell ref="A16:A17"/>
    <mergeCell ref="B16:B17"/>
    <mergeCell ref="C16:C17"/>
    <mergeCell ref="D16:D17"/>
    <mergeCell ref="E16:E17"/>
    <mergeCell ref="S16:S17"/>
    <mergeCell ref="T16:T17"/>
    <mergeCell ref="A14:A15"/>
    <mergeCell ref="B14:B15"/>
    <mergeCell ref="C14:C15"/>
    <mergeCell ref="D14:D15"/>
    <mergeCell ref="E14:E15"/>
    <mergeCell ref="S14:S15"/>
    <mergeCell ref="T18:T19"/>
    <mergeCell ref="A20:A21"/>
    <mergeCell ref="B20:B21"/>
    <mergeCell ref="C20:C21"/>
    <mergeCell ref="D20:D21"/>
    <mergeCell ref="E20:E21"/>
    <mergeCell ref="S20:S21"/>
    <mergeCell ref="T20:T21"/>
    <mergeCell ref="A18:A19"/>
    <mergeCell ref="B18:B19"/>
    <mergeCell ref="C18:C19"/>
    <mergeCell ref="D18:D19"/>
    <mergeCell ref="E18:E19"/>
    <mergeCell ref="S18:S19"/>
    <mergeCell ref="T22:T23"/>
    <mergeCell ref="A24:A25"/>
    <mergeCell ref="B24:B25"/>
    <mergeCell ref="C24:C25"/>
    <mergeCell ref="D24:D25"/>
    <mergeCell ref="E24:E25"/>
    <mergeCell ref="S24:S25"/>
    <mergeCell ref="T24:T25"/>
    <mergeCell ref="A22:A23"/>
    <mergeCell ref="B22:B23"/>
    <mergeCell ref="C22:C23"/>
    <mergeCell ref="D22:D23"/>
    <mergeCell ref="E22:E23"/>
    <mergeCell ref="S22:S23"/>
    <mergeCell ref="T26:T27"/>
    <mergeCell ref="A28:A29"/>
    <mergeCell ref="B28:B29"/>
    <mergeCell ref="C28:C29"/>
    <mergeCell ref="D28:D29"/>
    <mergeCell ref="E28:E29"/>
    <mergeCell ref="S28:S29"/>
    <mergeCell ref="T28:T29"/>
    <mergeCell ref="A26:A27"/>
    <mergeCell ref="B26:B27"/>
    <mergeCell ref="C26:C27"/>
    <mergeCell ref="D26:D27"/>
    <mergeCell ref="E26:E27"/>
    <mergeCell ref="S26:S27"/>
    <mergeCell ref="T30:T31"/>
    <mergeCell ref="A32:A33"/>
    <mergeCell ref="B32:B33"/>
    <mergeCell ref="C32:C33"/>
    <mergeCell ref="D32:D33"/>
    <mergeCell ref="E32:E33"/>
    <mergeCell ref="S32:S33"/>
    <mergeCell ref="T32:T33"/>
    <mergeCell ref="A30:A31"/>
    <mergeCell ref="B30:B31"/>
    <mergeCell ref="C30:C31"/>
    <mergeCell ref="D30:D31"/>
    <mergeCell ref="E30:E31"/>
    <mergeCell ref="S30:S31"/>
    <mergeCell ref="T34:T35"/>
    <mergeCell ref="A36:A37"/>
    <mergeCell ref="B36:B37"/>
    <mergeCell ref="C36:C37"/>
    <mergeCell ref="D36:D37"/>
    <mergeCell ref="E36:E37"/>
    <mergeCell ref="S36:S37"/>
    <mergeCell ref="T36:T37"/>
    <mergeCell ref="A34:A35"/>
    <mergeCell ref="B34:B35"/>
    <mergeCell ref="C34:C35"/>
    <mergeCell ref="D34:D35"/>
    <mergeCell ref="E34:E35"/>
    <mergeCell ref="S34:S35"/>
    <mergeCell ref="T38:T39"/>
    <mergeCell ref="A40:A41"/>
    <mergeCell ref="B40:B41"/>
    <mergeCell ref="C40:C41"/>
    <mergeCell ref="D40:D41"/>
    <mergeCell ref="E40:E41"/>
    <mergeCell ref="S40:S41"/>
    <mergeCell ref="T40:T41"/>
    <mergeCell ref="A38:A39"/>
    <mergeCell ref="B38:B39"/>
    <mergeCell ref="C38:C39"/>
    <mergeCell ref="D38:D39"/>
    <mergeCell ref="E38:E39"/>
    <mergeCell ref="S38:S39"/>
    <mergeCell ref="T42:T43"/>
    <mergeCell ref="A44:A45"/>
    <mergeCell ref="B44:B45"/>
    <mergeCell ref="C44:C45"/>
    <mergeCell ref="D44:D45"/>
    <mergeCell ref="E44:E45"/>
    <mergeCell ref="S44:S45"/>
    <mergeCell ref="T44:T45"/>
    <mergeCell ref="A42:A43"/>
    <mergeCell ref="B42:B43"/>
    <mergeCell ref="C42:C43"/>
    <mergeCell ref="D42:D43"/>
    <mergeCell ref="E42:E43"/>
    <mergeCell ref="S42:S43"/>
    <mergeCell ref="T46:T47"/>
    <mergeCell ref="A48:A49"/>
    <mergeCell ref="B48:B49"/>
    <mergeCell ref="C48:C49"/>
    <mergeCell ref="D48:D49"/>
    <mergeCell ref="E48:E49"/>
    <mergeCell ref="S48:S49"/>
    <mergeCell ref="T48:T49"/>
    <mergeCell ref="A46:A47"/>
    <mergeCell ref="B46:B47"/>
    <mergeCell ref="C46:C47"/>
    <mergeCell ref="D46:D47"/>
    <mergeCell ref="E46:E47"/>
    <mergeCell ref="S46:S47"/>
    <mergeCell ref="T50:T51"/>
    <mergeCell ref="A52:A53"/>
    <mergeCell ref="B52:B53"/>
    <mergeCell ref="C52:C53"/>
    <mergeCell ref="D52:D53"/>
    <mergeCell ref="E52:E53"/>
    <mergeCell ref="S52:S53"/>
    <mergeCell ref="T52:T53"/>
    <mergeCell ref="A50:A51"/>
    <mergeCell ref="B50:B51"/>
    <mergeCell ref="C50:C51"/>
    <mergeCell ref="D50:D51"/>
    <mergeCell ref="E50:E51"/>
    <mergeCell ref="S50:S51"/>
    <mergeCell ref="T54:T55"/>
    <mergeCell ref="A56:A57"/>
    <mergeCell ref="B56:B57"/>
    <mergeCell ref="C56:C57"/>
    <mergeCell ref="D56:D57"/>
    <mergeCell ref="E56:E57"/>
    <mergeCell ref="S56:S57"/>
    <mergeCell ref="T56:T57"/>
    <mergeCell ref="A54:A55"/>
    <mergeCell ref="B54:B55"/>
    <mergeCell ref="C54:C55"/>
    <mergeCell ref="D54:D55"/>
    <mergeCell ref="E54:E55"/>
    <mergeCell ref="S54:S55"/>
    <mergeCell ref="T58:T59"/>
    <mergeCell ref="A60:A61"/>
    <mergeCell ref="B60:B61"/>
    <mergeCell ref="C60:C61"/>
    <mergeCell ref="D60:D61"/>
    <mergeCell ref="E60:E61"/>
    <mergeCell ref="S60:S61"/>
    <mergeCell ref="T60:T61"/>
    <mergeCell ref="A58:A59"/>
    <mergeCell ref="B58:B59"/>
    <mergeCell ref="C58:C59"/>
    <mergeCell ref="D58:D59"/>
    <mergeCell ref="E58:E59"/>
    <mergeCell ref="S58:S59"/>
    <mergeCell ref="T62:T63"/>
    <mergeCell ref="A64:A65"/>
    <mergeCell ref="B64:B65"/>
    <mergeCell ref="C64:C65"/>
    <mergeCell ref="D64:D65"/>
    <mergeCell ref="E64:E65"/>
    <mergeCell ref="S64:S65"/>
    <mergeCell ref="T64:T65"/>
    <mergeCell ref="A62:A63"/>
    <mergeCell ref="B62:B63"/>
    <mergeCell ref="C62:C63"/>
    <mergeCell ref="D62:D63"/>
    <mergeCell ref="E62:E63"/>
    <mergeCell ref="S62:S63"/>
    <mergeCell ref="T66:T67"/>
    <mergeCell ref="A68:A69"/>
    <mergeCell ref="B68:B69"/>
    <mergeCell ref="C68:C69"/>
    <mergeCell ref="D68:D69"/>
    <mergeCell ref="E68:E69"/>
    <mergeCell ref="S68:S69"/>
    <mergeCell ref="T68:T69"/>
    <mergeCell ref="A66:A67"/>
    <mergeCell ref="B66:B67"/>
    <mergeCell ref="C66:C67"/>
    <mergeCell ref="D66:D67"/>
    <mergeCell ref="E66:E67"/>
    <mergeCell ref="S66:S67"/>
    <mergeCell ref="T70:T71"/>
    <mergeCell ref="A72:A73"/>
    <mergeCell ref="B72:B73"/>
    <mergeCell ref="C72:C73"/>
    <mergeCell ref="D72:D73"/>
    <mergeCell ref="E72:E73"/>
    <mergeCell ref="S72:S73"/>
    <mergeCell ref="T72:T73"/>
    <mergeCell ref="A70:A71"/>
    <mergeCell ref="B70:B71"/>
    <mergeCell ref="C70:C71"/>
    <mergeCell ref="D70:D71"/>
    <mergeCell ref="E70:E71"/>
    <mergeCell ref="S70:S71"/>
    <mergeCell ref="T74:T75"/>
    <mergeCell ref="A76:A77"/>
    <mergeCell ref="B76:B77"/>
    <mergeCell ref="C76:C77"/>
    <mergeCell ref="D76:D77"/>
    <mergeCell ref="E76:E77"/>
    <mergeCell ref="S76:S77"/>
    <mergeCell ref="T76:T77"/>
    <mergeCell ref="A74:A75"/>
    <mergeCell ref="B74:B75"/>
    <mergeCell ref="C74:C75"/>
    <mergeCell ref="D74:D75"/>
    <mergeCell ref="E74:E75"/>
    <mergeCell ref="S74:S75"/>
    <mergeCell ref="T78:T79"/>
    <mergeCell ref="A80:A81"/>
    <mergeCell ref="B80:B81"/>
    <mergeCell ref="C80:C81"/>
    <mergeCell ref="D80:D81"/>
    <mergeCell ref="E80:E81"/>
    <mergeCell ref="S80:S81"/>
    <mergeCell ref="T80:T81"/>
    <mergeCell ref="A78:A79"/>
    <mergeCell ref="B78:B79"/>
    <mergeCell ref="C78:C79"/>
    <mergeCell ref="D78:D79"/>
    <mergeCell ref="E78:E79"/>
    <mergeCell ref="S78:S79"/>
    <mergeCell ref="T82:T83"/>
    <mergeCell ref="A84:A85"/>
    <mergeCell ref="B84:B85"/>
    <mergeCell ref="C84:C85"/>
    <mergeCell ref="D84:D85"/>
    <mergeCell ref="E84:E85"/>
    <mergeCell ref="S84:S85"/>
    <mergeCell ref="T84:T85"/>
    <mergeCell ref="A82:A83"/>
    <mergeCell ref="B82:B83"/>
    <mergeCell ref="C82:C83"/>
    <mergeCell ref="D82:D83"/>
    <mergeCell ref="E82:E83"/>
    <mergeCell ref="S82:S83"/>
    <mergeCell ref="T86:T87"/>
    <mergeCell ref="A88:A89"/>
    <mergeCell ref="B88:B89"/>
    <mergeCell ref="C88:C89"/>
    <mergeCell ref="D88:D89"/>
    <mergeCell ref="E88:E89"/>
    <mergeCell ref="S88:S89"/>
    <mergeCell ref="T88:T89"/>
    <mergeCell ref="A86:A87"/>
    <mergeCell ref="B86:B87"/>
    <mergeCell ref="C86:C87"/>
    <mergeCell ref="D86:D87"/>
    <mergeCell ref="E86:E87"/>
    <mergeCell ref="S86:S87"/>
    <mergeCell ref="T90:T91"/>
    <mergeCell ref="A92:A93"/>
    <mergeCell ref="B92:B93"/>
    <mergeCell ref="C92:C93"/>
    <mergeCell ref="D92:D93"/>
    <mergeCell ref="E92:E93"/>
    <mergeCell ref="S92:S93"/>
    <mergeCell ref="T92:T93"/>
    <mergeCell ref="A90:A91"/>
    <mergeCell ref="B90:B91"/>
    <mergeCell ref="C90:C91"/>
    <mergeCell ref="D90:D91"/>
    <mergeCell ref="E90:E91"/>
    <mergeCell ref="S90:S91"/>
    <mergeCell ref="T94:T95"/>
    <mergeCell ref="A96:A97"/>
    <mergeCell ref="B96:B97"/>
    <mergeCell ref="C96:C97"/>
    <mergeCell ref="D96:D97"/>
    <mergeCell ref="E96:E97"/>
    <mergeCell ref="S96:S97"/>
    <mergeCell ref="T96:T97"/>
    <mergeCell ref="A94:A95"/>
    <mergeCell ref="B94:B95"/>
    <mergeCell ref="C94:C95"/>
    <mergeCell ref="D94:D95"/>
    <mergeCell ref="E94:E95"/>
    <mergeCell ref="S94:S95"/>
    <mergeCell ref="T98:T99"/>
    <mergeCell ref="A100:A101"/>
    <mergeCell ref="B100:B101"/>
    <mergeCell ref="C100:C101"/>
    <mergeCell ref="D100:D101"/>
    <mergeCell ref="E100:E101"/>
    <mergeCell ref="S100:S101"/>
    <mergeCell ref="T100:T101"/>
    <mergeCell ref="A98:A99"/>
    <mergeCell ref="B98:B99"/>
    <mergeCell ref="C98:C99"/>
    <mergeCell ref="D98:D99"/>
    <mergeCell ref="E98:E99"/>
    <mergeCell ref="S98:S99"/>
    <mergeCell ref="T102:T103"/>
    <mergeCell ref="A104:A105"/>
    <mergeCell ref="B104:B105"/>
    <mergeCell ref="C104:C105"/>
    <mergeCell ref="D104:D105"/>
    <mergeCell ref="E104:E105"/>
    <mergeCell ref="S104:S105"/>
    <mergeCell ref="T104:T105"/>
    <mergeCell ref="A102:A103"/>
    <mergeCell ref="B102:B103"/>
    <mergeCell ref="C102:C103"/>
    <mergeCell ref="D102:D103"/>
    <mergeCell ref="E102:E103"/>
    <mergeCell ref="S102:S103"/>
    <mergeCell ref="T106:T107"/>
    <mergeCell ref="A108:A109"/>
    <mergeCell ref="B108:B109"/>
    <mergeCell ref="C108:C109"/>
    <mergeCell ref="D108:D109"/>
    <mergeCell ref="E108:E109"/>
    <mergeCell ref="S108:S109"/>
    <mergeCell ref="T108:T109"/>
    <mergeCell ref="A106:A107"/>
    <mergeCell ref="B106:B107"/>
    <mergeCell ref="C106:C107"/>
    <mergeCell ref="D106:D107"/>
    <mergeCell ref="E106:E107"/>
    <mergeCell ref="S106:S107"/>
    <mergeCell ref="T110:T111"/>
    <mergeCell ref="A112:A113"/>
    <mergeCell ref="B112:B113"/>
    <mergeCell ref="C112:C113"/>
    <mergeCell ref="D112:D113"/>
    <mergeCell ref="E112:E113"/>
    <mergeCell ref="S112:S113"/>
    <mergeCell ref="T112:T113"/>
    <mergeCell ref="A110:A111"/>
    <mergeCell ref="B110:B111"/>
    <mergeCell ref="C110:C111"/>
    <mergeCell ref="D110:D111"/>
    <mergeCell ref="E110:E111"/>
    <mergeCell ref="S110:S111"/>
    <mergeCell ref="T114:T115"/>
    <mergeCell ref="A116:A117"/>
    <mergeCell ref="B116:B117"/>
    <mergeCell ref="C116:C117"/>
    <mergeCell ref="D116:D117"/>
    <mergeCell ref="E116:E117"/>
    <mergeCell ref="S116:S117"/>
    <mergeCell ref="T116:T117"/>
    <mergeCell ref="A114:A115"/>
    <mergeCell ref="B114:B115"/>
    <mergeCell ref="C114:C115"/>
    <mergeCell ref="D114:D115"/>
    <mergeCell ref="E114:E115"/>
    <mergeCell ref="S114:S115"/>
    <mergeCell ref="T118:T119"/>
    <mergeCell ref="A120:A121"/>
    <mergeCell ref="B120:B121"/>
    <mergeCell ref="C120:C121"/>
    <mergeCell ref="D120:D121"/>
    <mergeCell ref="E120:E121"/>
    <mergeCell ref="S120:S121"/>
    <mergeCell ref="T120:T121"/>
    <mergeCell ref="A118:A119"/>
    <mergeCell ref="B118:B119"/>
    <mergeCell ref="C118:C119"/>
    <mergeCell ref="D118:D119"/>
    <mergeCell ref="E118:E119"/>
    <mergeCell ref="S118:S119"/>
    <mergeCell ref="T122:T123"/>
    <mergeCell ref="A124:A125"/>
    <mergeCell ref="B124:B125"/>
    <mergeCell ref="C124:C125"/>
    <mergeCell ref="D124:D125"/>
    <mergeCell ref="E124:E125"/>
    <mergeCell ref="S124:S125"/>
    <mergeCell ref="T124:T125"/>
    <mergeCell ref="A122:A123"/>
    <mergeCell ref="B122:B123"/>
    <mergeCell ref="C122:C123"/>
    <mergeCell ref="D122:D123"/>
    <mergeCell ref="E122:E123"/>
    <mergeCell ref="S122:S123"/>
    <mergeCell ref="T126:T127"/>
    <mergeCell ref="A128:A129"/>
    <mergeCell ref="B128:B129"/>
    <mergeCell ref="C128:C129"/>
    <mergeCell ref="D128:D129"/>
    <mergeCell ref="E128:E129"/>
    <mergeCell ref="S128:S129"/>
    <mergeCell ref="T128:T129"/>
    <mergeCell ref="A126:A127"/>
    <mergeCell ref="B126:B127"/>
    <mergeCell ref="C126:C127"/>
    <mergeCell ref="D126:D127"/>
    <mergeCell ref="E126:E127"/>
    <mergeCell ref="S126:S127"/>
    <mergeCell ref="T130:T131"/>
    <mergeCell ref="A132:A133"/>
    <mergeCell ref="B132:B133"/>
    <mergeCell ref="C132:C133"/>
    <mergeCell ref="D132:D133"/>
    <mergeCell ref="E132:E133"/>
    <mergeCell ref="S132:S133"/>
    <mergeCell ref="T132:T133"/>
    <mergeCell ref="A130:A131"/>
    <mergeCell ref="B130:B131"/>
    <mergeCell ref="C130:C131"/>
    <mergeCell ref="D130:D131"/>
    <mergeCell ref="E130:E131"/>
    <mergeCell ref="S130:S131"/>
    <mergeCell ref="T134:T135"/>
    <mergeCell ref="A136:A137"/>
    <mergeCell ref="B136:B137"/>
    <mergeCell ref="C136:C137"/>
    <mergeCell ref="D136:D137"/>
    <mergeCell ref="E136:E137"/>
    <mergeCell ref="S136:S137"/>
    <mergeCell ref="T136:T137"/>
    <mergeCell ref="A134:A135"/>
    <mergeCell ref="B134:B135"/>
    <mergeCell ref="C134:C135"/>
    <mergeCell ref="D134:D135"/>
    <mergeCell ref="E134:E135"/>
    <mergeCell ref="S134:S135"/>
    <mergeCell ref="T138:T139"/>
    <mergeCell ref="A140:A141"/>
    <mergeCell ref="B140:B141"/>
    <mergeCell ref="C140:C141"/>
    <mergeCell ref="D140:D141"/>
    <mergeCell ref="E140:E141"/>
    <mergeCell ref="S140:S141"/>
    <mergeCell ref="T140:T141"/>
    <mergeCell ref="A138:A139"/>
    <mergeCell ref="B138:B139"/>
    <mergeCell ref="C138:C139"/>
    <mergeCell ref="D138:D139"/>
    <mergeCell ref="E138:E139"/>
    <mergeCell ref="S138:S139"/>
    <mergeCell ref="T142:T143"/>
    <mergeCell ref="A144:A145"/>
    <mergeCell ref="B144:B145"/>
    <mergeCell ref="C144:C145"/>
    <mergeCell ref="D144:D145"/>
    <mergeCell ref="E144:E145"/>
    <mergeCell ref="S144:S145"/>
    <mergeCell ref="T144:T145"/>
    <mergeCell ref="A142:A143"/>
    <mergeCell ref="B142:B143"/>
    <mergeCell ref="C142:C143"/>
    <mergeCell ref="D142:D143"/>
    <mergeCell ref="E142:E143"/>
    <mergeCell ref="S142:S143"/>
    <mergeCell ref="T146:T147"/>
    <mergeCell ref="A148:A149"/>
    <mergeCell ref="B148:B149"/>
    <mergeCell ref="C148:C149"/>
    <mergeCell ref="D148:D149"/>
    <mergeCell ref="E148:E149"/>
    <mergeCell ref="S148:S149"/>
    <mergeCell ref="T148:T149"/>
    <mergeCell ref="A146:A147"/>
    <mergeCell ref="B146:B147"/>
    <mergeCell ref="C146:C147"/>
    <mergeCell ref="D146:D147"/>
    <mergeCell ref="E146:E147"/>
    <mergeCell ref="S146:S147"/>
    <mergeCell ref="T150:T151"/>
    <mergeCell ref="A152:A153"/>
    <mergeCell ref="B152:B153"/>
    <mergeCell ref="C152:C153"/>
    <mergeCell ref="D152:D153"/>
    <mergeCell ref="E152:E153"/>
    <mergeCell ref="S152:S153"/>
    <mergeCell ref="T152:T153"/>
    <mergeCell ref="A150:A151"/>
    <mergeCell ref="B150:B151"/>
    <mergeCell ref="C150:C151"/>
    <mergeCell ref="D150:D151"/>
    <mergeCell ref="E150:E151"/>
    <mergeCell ref="S150:S151"/>
    <mergeCell ref="T154:T155"/>
    <mergeCell ref="A156:A157"/>
    <mergeCell ref="B156:B157"/>
    <mergeCell ref="C156:C157"/>
    <mergeCell ref="D156:D157"/>
    <mergeCell ref="E156:E157"/>
    <mergeCell ref="S156:S157"/>
    <mergeCell ref="T156:T157"/>
    <mergeCell ref="A154:A155"/>
    <mergeCell ref="B154:B155"/>
    <mergeCell ref="C154:C155"/>
    <mergeCell ref="D154:D155"/>
    <mergeCell ref="E154:E155"/>
    <mergeCell ref="S154:S155"/>
    <mergeCell ref="T158:T159"/>
    <mergeCell ref="A160:A161"/>
    <mergeCell ref="B160:B161"/>
    <mergeCell ref="C160:C161"/>
    <mergeCell ref="D160:D161"/>
    <mergeCell ref="E160:E161"/>
    <mergeCell ref="S160:S161"/>
    <mergeCell ref="T160:T161"/>
    <mergeCell ref="A158:A159"/>
    <mergeCell ref="B158:B159"/>
    <mergeCell ref="C158:C159"/>
    <mergeCell ref="D158:D159"/>
    <mergeCell ref="E158:E159"/>
    <mergeCell ref="S158:S159"/>
  </mergeCells>
  <phoneticPr fontId="24" type="noConversion"/>
  <pageMargins left="0.74805555555555558" right="0.74805555555555558" top="1.3776388888888889" bottom="1.3776388888888889" header="0.98388888888888892" footer="0.98388888888888892"/>
  <pageSetup paperSize="9" fitToWidth="0" fitToHeight="0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45237-3C41-4D82-980D-C41714BEDB4B}">
  <sheetPr codeName="工作表4"/>
  <dimension ref="A1:S155"/>
  <sheetViews>
    <sheetView tabSelected="1" workbookViewId="0"/>
  </sheetViews>
  <sheetFormatPr defaultRowHeight="15" x14ac:dyDescent="0.2"/>
  <cols>
    <col min="1" max="1" width="22" bestFit="1" customWidth="1"/>
    <col min="2" max="3" width="5.77734375" bestFit="1" customWidth="1"/>
    <col min="4" max="4" width="9.109375" bestFit="1" customWidth="1"/>
    <col min="5" max="5" width="8" bestFit="1" customWidth="1"/>
    <col min="6" max="6" width="6.33203125" bestFit="1" customWidth="1"/>
    <col min="7" max="15" width="2.21875" bestFit="1" customWidth="1"/>
    <col min="16" max="18" width="3.109375" bestFit="1" customWidth="1"/>
    <col min="19" max="19" width="15.33203125" bestFit="1" customWidth="1"/>
  </cols>
  <sheetData>
    <row r="1" spans="1:19" ht="15.75" x14ac:dyDescent="0.2">
      <c r="A1" s="24" t="s">
        <v>0</v>
      </c>
      <c r="B1" s="25" t="s">
        <v>1</v>
      </c>
      <c r="C1" s="26" t="s">
        <v>2</v>
      </c>
      <c r="D1" s="27" t="s">
        <v>178</v>
      </c>
      <c r="E1" s="28" t="s">
        <v>179</v>
      </c>
      <c r="F1" s="62" t="s">
        <v>341</v>
      </c>
      <c r="G1" s="29">
        <v>1</v>
      </c>
      <c r="H1" s="29">
        <v>2</v>
      </c>
      <c r="I1" s="29">
        <v>3</v>
      </c>
      <c r="J1" s="29">
        <v>4</v>
      </c>
      <c r="K1" s="29">
        <v>5</v>
      </c>
      <c r="L1" s="29">
        <v>6</v>
      </c>
      <c r="M1" s="29">
        <v>7</v>
      </c>
      <c r="N1" s="29">
        <v>8</v>
      </c>
      <c r="O1" s="29">
        <v>9</v>
      </c>
      <c r="P1" s="29">
        <v>10</v>
      </c>
      <c r="Q1" s="29">
        <v>11</v>
      </c>
      <c r="R1" s="29">
        <v>12</v>
      </c>
      <c r="S1" s="30" t="s">
        <v>342</v>
      </c>
    </row>
    <row r="2" spans="1:19" x14ac:dyDescent="0.2">
      <c r="A2" s="72" t="str">
        <f>SUBSTITUTE(SUBSTITUTE(魚類月份!B2,CHAR(13),","),CHAR(10),",")</f>
        <v>紅目鯽,Bitterling</v>
      </c>
      <c r="B2" s="63">
        <v>720</v>
      </c>
      <c r="C2" s="74">
        <f>B2/0.8</f>
        <v>900</v>
      </c>
      <c r="D2" s="75" t="s">
        <v>182</v>
      </c>
      <c r="E2" s="76" t="s">
        <v>183</v>
      </c>
      <c r="F2" s="32" t="s">
        <v>184</v>
      </c>
      <c r="G2" s="33" cm="1">
        <f t="array" ref="G2">fc(魚類月份!H2)</f>
        <v>1</v>
      </c>
      <c r="H2" s="33" cm="1">
        <f t="array" ref="H2">fc(魚類月份!I2)</f>
        <v>1</v>
      </c>
      <c r="I2" s="33" cm="1">
        <f t="array" ref="I2">fc(魚類月份!J2)</f>
        <v>1</v>
      </c>
      <c r="J2" s="33" cm="1">
        <f t="array" ref="J2">fc(魚類月份!K2)</f>
        <v>0</v>
      </c>
      <c r="K2" s="33" cm="1">
        <f t="array" ref="K2">fc(魚類月份!L2)</f>
        <v>0</v>
      </c>
      <c r="L2" s="33" cm="1">
        <f t="array" ref="L2">fc(魚類月份!M2)</f>
        <v>0</v>
      </c>
      <c r="M2" s="33" cm="1">
        <f t="array" ref="M2">fc(魚類月份!N2)</f>
        <v>0</v>
      </c>
      <c r="N2" s="33" cm="1">
        <f t="array" ref="N2">fc(魚類月份!O2)</f>
        <v>0</v>
      </c>
      <c r="O2" s="33" cm="1">
        <f t="array" ref="O2">fc(魚類月份!P2)</f>
        <v>0</v>
      </c>
      <c r="P2" s="33" cm="1">
        <f t="array" ref="P2">fc(魚類月份!Q2)</f>
        <v>0</v>
      </c>
      <c r="Q2" s="33" cm="1">
        <f t="array" ref="Q2">fc(魚類月份!R2)</f>
        <v>1</v>
      </c>
      <c r="R2" s="33" cm="1">
        <f t="array" ref="R2">fc(魚類月份!S2)</f>
        <v>1</v>
      </c>
      <c r="S2" s="63" t="s">
        <v>197</v>
      </c>
    </row>
    <row r="3" spans="1:19" x14ac:dyDescent="0.2">
      <c r="A3" s="73"/>
      <c r="B3" s="63"/>
      <c r="C3" s="74"/>
      <c r="D3" s="75"/>
      <c r="E3" s="76"/>
      <c r="F3" s="35" t="s">
        <v>198</v>
      </c>
      <c r="G3" s="33" cm="1">
        <f t="array" ref="G3">fc(魚類月份!H3)</f>
        <v>0</v>
      </c>
      <c r="H3" s="33" cm="1">
        <f t="array" ref="H3">fc(魚類月份!I3)</f>
        <v>0</v>
      </c>
      <c r="I3" s="33" cm="1">
        <f t="array" ref="I3">fc(魚類月份!J3)</f>
        <v>0</v>
      </c>
      <c r="J3" s="33" cm="1">
        <f t="array" ref="J3">fc(魚類月份!K3)</f>
        <v>0</v>
      </c>
      <c r="K3" s="33" cm="1">
        <f t="array" ref="K3">fc(魚類月份!L3)</f>
        <v>1</v>
      </c>
      <c r="L3" s="33" cm="1">
        <f t="array" ref="L3">fc(魚類月份!M3)</f>
        <v>1</v>
      </c>
      <c r="M3" s="33" cm="1">
        <f t="array" ref="M3">fc(魚類月份!N3)</f>
        <v>1</v>
      </c>
      <c r="N3" s="33" cm="1">
        <f t="array" ref="N3">fc(魚類月份!O3)</f>
        <v>1</v>
      </c>
      <c r="O3" s="33" cm="1">
        <f t="array" ref="O3">fc(魚類月份!P3)</f>
        <v>1</v>
      </c>
      <c r="P3" s="33" cm="1">
        <f t="array" ref="P3">fc(魚類月份!Q3)</f>
        <v>0</v>
      </c>
      <c r="Q3" s="33" cm="1">
        <f t="array" ref="Q3">fc(魚類月份!R3)</f>
        <v>0</v>
      </c>
      <c r="R3" s="33" cm="1">
        <f t="array" ref="R3">fc(魚類月份!S3)</f>
        <v>0</v>
      </c>
      <c r="S3" s="63"/>
    </row>
    <row r="4" spans="1:19" ht="15" customHeight="1" x14ac:dyDescent="0.2">
      <c r="A4" s="72" t="str">
        <f>SUBSTITUTE(SUBSTITUTE(魚類月份!B4,CHAR(13),","),CHAR(10),",")</f>
        <v>溪哥,Pale chub</v>
      </c>
      <c r="B4" s="68">
        <v>160</v>
      </c>
      <c r="C4" s="69">
        <f>B4/0.8</f>
        <v>200</v>
      </c>
      <c r="D4" s="70" t="s">
        <v>182</v>
      </c>
      <c r="E4" s="71" t="s">
        <v>183</v>
      </c>
      <c r="F4" s="37" t="s">
        <v>184</v>
      </c>
      <c r="G4" s="33" cm="1">
        <f t="array" ref="G4">fc(魚類月份!H4)</f>
        <v>1</v>
      </c>
      <c r="H4" s="33" cm="1">
        <f t="array" ref="H4">fc(魚類月份!I4)</f>
        <v>1</v>
      </c>
      <c r="I4" s="33" cm="1">
        <f t="array" ref="I4">fc(魚類月份!J4)</f>
        <v>1</v>
      </c>
      <c r="J4" s="33" cm="1">
        <f t="array" ref="J4">fc(魚類月份!K4)</f>
        <v>1</v>
      </c>
      <c r="K4" s="33" cm="1">
        <f t="array" ref="K4">fc(魚類月份!L4)</f>
        <v>1</v>
      </c>
      <c r="L4" s="33" cm="1">
        <f t="array" ref="L4">fc(魚類月份!M4)</f>
        <v>1</v>
      </c>
      <c r="M4" s="33" cm="1">
        <f t="array" ref="M4">fc(魚類月份!N4)</f>
        <v>1</v>
      </c>
      <c r="N4" s="33" cm="1">
        <f t="array" ref="N4">fc(魚類月份!O4)</f>
        <v>1</v>
      </c>
      <c r="O4" s="33" cm="1">
        <f t="array" ref="O4">fc(魚類月份!P4)</f>
        <v>1</v>
      </c>
      <c r="P4" s="33" cm="1">
        <f t="array" ref="P4">fc(魚類月份!Q4)</f>
        <v>1</v>
      </c>
      <c r="Q4" s="33" cm="1">
        <f t="array" ref="Q4">fc(魚類月份!R4)</f>
        <v>1</v>
      </c>
      <c r="R4" s="33" cm="1">
        <f t="array" ref="R4">fc(魚類月份!S4)</f>
        <v>1</v>
      </c>
      <c r="S4" s="68" t="s">
        <v>199</v>
      </c>
    </row>
    <row r="5" spans="1:19" x14ac:dyDescent="0.2">
      <c r="A5" s="73"/>
      <c r="B5" s="68"/>
      <c r="C5" s="69"/>
      <c r="D5" s="70"/>
      <c r="E5" s="71"/>
      <c r="F5" s="39" t="s">
        <v>198</v>
      </c>
      <c r="G5" s="33" cm="1">
        <f t="array" ref="G5">fc(魚類月份!H5)</f>
        <v>1</v>
      </c>
      <c r="H5" s="33" cm="1">
        <f t="array" ref="H5">fc(魚類月份!I5)</f>
        <v>1</v>
      </c>
      <c r="I5" s="33" cm="1">
        <f t="array" ref="I5">fc(魚類月份!J5)</f>
        <v>1</v>
      </c>
      <c r="J5" s="33" cm="1">
        <f t="array" ref="J5">fc(魚類月份!K5)</f>
        <v>1</v>
      </c>
      <c r="K5" s="33" cm="1">
        <f t="array" ref="K5">fc(魚類月份!L5)</f>
        <v>1</v>
      </c>
      <c r="L5" s="33" cm="1">
        <f t="array" ref="L5">fc(魚類月份!M5)</f>
        <v>1</v>
      </c>
      <c r="M5" s="33" cm="1">
        <f t="array" ref="M5">fc(魚類月份!N5)</f>
        <v>1</v>
      </c>
      <c r="N5" s="33" cm="1">
        <f t="array" ref="N5">fc(魚類月份!O5)</f>
        <v>1</v>
      </c>
      <c r="O5" s="33" cm="1">
        <f t="array" ref="O5">fc(魚類月份!P5)</f>
        <v>1</v>
      </c>
      <c r="P5" s="33" cm="1">
        <f t="array" ref="P5">fc(魚類月份!Q5)</f>
        <v>1</v>
      </c>
      <c r="Q5" s="33" cm="1">
        <f t="array" ref="Q5">fc(魚類月份!R5)</f>
        <v>1</v>
      </c>
      <c r="R5" s="33" cm="1">
        <f t="array" ref="R5">fc(魚類月份!S5)</f>
        <v>1</v>
      </c>
      <c r="S5" s="68"/>
    </row>
    <row r="6" spans="1:19" ht="15" customHeight="1" x14ac:dyDescent="0.2">
      <c r="A6" s="72" t="str">
        <f>SUBSTITUTE(SUBSTITUTE(魚類月份!B6,CHAR(13),","),CHAR(10),",")</f>
        <v>鯽魚,Crucian carp</v>
      </c>
      <c r="B6" s="63">
        <v>128</v>
      </c>
      <c r="C6" s="74">
        <f>B6/0.8</f>
        <v>160</v>
      </c>
      <c r="D6" s="75" t="s">
        <v>182</v>
      </c>
      <c r="E6" s="76" t="s">
        <v>200</v>
      </c>
      <c r="F6" s="32" t="s">
        <v>184</v>
      </c>
      <c r="G6" s="33" cm="1">
        <f t="array" ref="G6">fc(魚類月份!H6)</f>
        <v>1</v>
      </c>
      <c r="H6" s="33" cm="1">
        <f t="array" ref="H6">fc(魚類月份!I6)</f>
        <v>1</v>
      </c>
      <c r="I6" s="33" cm="1">
        <f t="array" ref="I6">fc(魚類月份!J6)</f>
        <v>1</v>
      </c>
      <c r="J6" s="33" cm="1">
        <f t="array" ref="J6">fc(魚類月份!K6)</f>
        <v>1</v>
      </c>
      <c r="K6" s="33" cm="1">
        <f t="array" ref="K6">fc(魚類月份!L6)</f>
        <v>1</v>
      </c>
      <c r="L6" s="33" cm="1">
        <f t="array" ref="L6">fc(魚類月份!M6)</f>
        <v>1</v>
      </c>
      <c r="M6" s="33" cm="1">
        <f t="array" ref="M6">fc(魚類月份!N6)</f>
        <v>1</v>
      </c>
      <c r="N6" s="33" cm="1">
        <f t="array" ref="N6">fc(魚類月份!O6)</f>
        <v>1</v>
      </c>
      <c r="O6" s="33" cm="1">
        <f t="array" ref="O6">fc(魚類月份!P6)</f>
        <v>1</v>
      </c>
      <c r="P6" s="33" cm="1">
        <f t="array" ref="P6">fc(魚類月份!Q6)</f>
        <v>1</v>
      </c>
      <c r="Q6" s="33" cm="1">
        <f t="array" ref="Q6">fc(魚類月份!R6)</f>
        <v>1</v>
      </c>
      <c r="R6" s="33" cm="1">
        <f t="array" ref="R6">fc(魚類月份!S6)</f>
        <v>1</v>
      </c>
      <c r="S6" s="63" t="s">
        <v>197</v>
      </c>
    </row>
    <row r="7" spans="1:19" x14ac:dyDescent="0.2">
      <c r="A7" s="73"/>
      <c r="B7" s="63"/>
      <c r="C7" s="74"/>
      <c r="D7" s="75"/>
      <c r="E7" s="76"/>
      <c r="F7" s="35" t="s">
        <v>198</v>
      </c>
      <c r="G7" s="33" cm="1">
        <f t="array" ref="G7">fc(魚類月份!H7)</f>
        <v>1</v>
      </c>
      <c r="H7" s="33" cm="1">
        <f t="array" ref="H7">fc(魚類月份!I7)</f>
        <v>1</v>
      </c>
      <c r="I7" s="33" cm="1">
        <f t="array" ref="I7">fc(魚類月份!J7)</f>
        <v>1</v>
      </c>
      <c r="J7" s="33" cm="1">
        <f t="array" ref="J7">fc(魚類月份!K7)</f>
        <v>1</v>
      </c>
      <c r="K7" s="33" cm="1">
        <f t="array" ref="K7">fc(魚類月份!L7)</f>
        <v>1</v>
      </c>
      <c r="L7" s="33" cm="1">
        <f t="array" ref="L7">fc(魚類月份!M7)</f>
        <v>1</v>
      </c>
      <c r="M7" s="33" cm="1">
        <f t="array" ref="M7">fc(魚類月份!N7)</f>
        <v>1</v>
      </c>
      <c r="N7" s="33" cm="1">
        <f t="array" ref="N7">fc(魚類月份!O7)</f>
        <v>1</v>
      </c>
      <c r="O7" s="33" cm="1">
        <f t="array" ref="O7">fc(魚類月份!P7)</f>
        <v>1</v>
      </c>
      <c r="P7" s="33" cm="1">
        <f t="array" ref="P7">fc(魚類月份!Q7)</f>
        <v>1</v>
      </c>
      <c r="Q7" s="33" cm="1">
        <f t="array" ref="Q7">fc(魚類月份!R7)</f>
        <v>1</v>
      </c>
      <c r="R7" s="33" cm="1">
        <f t="array" ref="R7">fc(魚類月份!S7)</f>
        <v>1</v>
      </c>
      <c r="S7" s="63"/>
    </row>
    <row r="8" spans="1:19" ht="15" customHeight="1" x14ac:dyDescent="0.2">
      <c r="A8" s="72" t="str">
        <f>SUBSTITUTE(SUBSTITUTE(魚類月份!B8,CHAR(13),","),CHAR(10),",")</f>
        <v>珠星三塊魚,Dace</v>
      </c>
      <c r="B8" s="68">
        <v>192</v>
      </c>
      <c r="C8" s="69">
        <f>B8/0.8</f>
        <v>240</v>
      </c>
      <c r="D8" s="70" t="s">
        <v>182</v>
      </c>
      <c r="E8" s="71" t="s">
        <v>201</v>
      </c>
      <c r="F8" s="37" t="s">
        <v>184</v>
      </c>
      <c r="G8" s="33" cm="1">
        <f t="array" ref="G8">fc(魚類月份!H8)</f>
        <v>1</v>
      </c>
      <c r="H8" s="33" cm="1">
        <f t="array" ref="H8">fc(魚類月份!I8)</f>
        <v>1</v>
      </c>
      <c r="I8" s="33" cm="1">
        <f t="array" ref="I8">fc(魚類月份!J8)</f>
        <v>1</v>
      </c>
      <c r="J8" s="33" cm="1">
        <f t="array" ref="J8">fc(魚類月份!K8)</f>
        <v>1</v>
      </c>
      <c r="K8" s="33" cm="1">
        <f t="array" ref="K8">fc(魚類月份!L8)</f>
        <v>1</v>
      </c>
      <c r="L8" s="33" cm="1">
        <f t="array" ref="L8">fc(魚類月份!M8)</f>
        <v>1</v>
      </c>
      <c r="M8" s="33" cm="1">
        <f t="array" ref="M8">fc(魚類月份!N8)</f>
        <v>1</v>
      </c>
      <c r="N8" s="33" cm="1">
        <f t="array" ref="N8">fc(魚類月份!O8)</f>
        <v>1</v>
      </c>
      <c r="O8" s="33" cm="1">
        <f t="array" ref="O8">fc(魚類月份!P8)</f>
        <v>1</v>
      </c>
      <c r="P8" s="33" cm="1">
        <f t="array" ref="P8">fc(魚類月份!Q8)</f>
        <v>1</v>
      </c>
      <c r="Q8" s="33" cm="1">
        <f t="array" ref="Q8">fc(魚類月份!R8)</f>
        <v>1</v>
      </c>
      <c r="R8" s="33" cm="1">
        <f t="array" ref="R8">fc(魚類月份!S8)</f>
        <v>1</v>
      </c>
      <c r="S8" s="68" t="s">
        <v>202</v>
      </c>
    </row>
    <row r="9" spans="1:19" x14ac:dyDescent="0.2">
      <c r="A9" s="73"/>
      <c r="B9" s="68"/>
      <c r="C9" s="69"/>
      <c r="D9" s="70"/>
      <c r="E9" s="71"/>
      <c r="F9" s="39" t="s">
        <v>198</v>
      </c>
      <c r="G9" s="33" cm="1">
        <f t="array" ref="G9">fc(魚類月份!H9)</f>
        <v>1</v>
      </c>
      <c r="H9" s="33" cm="1">
        <f t="array" ref="H9">fc(魚類月份!I9)</f>
        <v>1</v>
      </c>
      <c r="I9" s="33" cm="1">
        <f t="array" ref="I9">fc(魚類月份!J9)</f>
        <v>1</v>
      </c>
      <c r="J9" s="33" cm="1">
        <f t="array" ref="J9">fc(魚類月份!K9)</f>
        <v>1</v>
      </c>
      <c r="K9" s="33" cm="1">
        <f t="array" ref="K9">fc(魚類月份!L9)</f>
        <v>1</v>
      </c>
      <c r="L9" s="33" cm="1">
        <f t="array" ref="L9">fc(魚類月份!M9)</f>
        <v>1</v>
      </c>
      <c r="M9" s="33" cm="1">
        <f t="array" ref="M9">fc(魚類月份!N9)</f>
        <v>1</v>
      </c>
      <c r="N9" s="33" cm="1">
        <f t="array" ref="N9">fc(魚類月份!O9)</f>
        <v>1</v>
      </c>
      <c r="O9" s="33" cm="1">
        <f t="array" ref="O9">fc(魚類月份!P9)</f>
        <v>1</v>
      </c>
      <c r="P9" s="33" cm="1">
        <f t="array" ref="P9">fc(魚類月份!Q9)</f>
        <v>1</v>
      </c>
      <c r="Q9" s="33" cm="1">
        <f t="array" ref="Q9">fc(魚類月份!R9)</f>
        <v>1</v>
      </c>
      <c r="R9" s="33" cm="1">
        <f t="array" ref="R9">fc(魚類月份!S9)</f>
        <v>1</v>
      </c>
      <c r="S9" s="68"/>
    </row>
    <row r="10" spans="1:19" ht="15" customHeight="1" x14ac:dyDescent="0.2">
      <c r="A10" s="72" t="str">
        <f>SUBSTITUTE(SUBSTITUTE(魚類月份!B10,CHAR(13),","),CHAR(10),",")</f>
        <v>鯉魚,Carp</v>
      </c>
      <c r="B10" s="63">
        <v>240</v>
      </c>
      <c r="C10" s="74">
        <f>B10/0.8</f>
        <v>300</v>
      </c>
      <c r="D10" s="75" t="s">
        <v>203</v>
      </c>
      <c r="E10" s="76" t="s">
        <v>204</v>
      </c>
      <c r="F10" s="32" t="s">
        <v>184</v>
      </c>
      <c r="G10" s="33" cm="1">
        <f t="array" ref="G10">fc(魚類月份!H10)</f>
        <v>1</v>
      </c>
      <c r="H10" s="33" cm="1">
        <f t="array" ref="H10">fc(魚類月份!I10)</f>
        <v>1</v>
      </c>
      <c r="I10" s="33" cm="1">
        <f t="array" ref="I10">fc(魚類月份!J10)</f>
        <v>1</v>
      </c>
      <c r="J10" s="33" cm="1">
        <f t="array" ref="J10">fc(魚類月份!K10)</f>
        <v>1</v>
      </c>
      <c r="K10" s="33" cm="1">
        <f t="array" ref="K10">fc(魚類月份!L10)</f>
        <v>1</v>
      </c>
      <c r="L10" s="33" cm="1">
        <f t="array" ref="L10">fc(魚類月份!M10)</f>
        <v>1</v>
      </c>
      <c r="M10" s="33" cm="1">
        <f t="array" ref="M10">fc(魚類月份!N10)</f>
        <v>1</v>
      </c>
      <c r="N10" s="33" cm="1">
        <f t="array" ref="N10">fc(魚類月份!O10)</f>
        <v>1</v>
      </c>
      <c r="O10" s="33" cm="1">
        <f t="array" ref="O10">fc(魚類月份!P10)</f>
        <v>1</v>
      </c>
      <c r="P10" s="33" cm="1">
        <f t="array" ref="P10">fc(魚類月份!Q10)</f>
        <v>1</v>
      </c>
      <c r="Q10" s="33" cm="1">
        <f t="array" ref="Q10">fc(魚類月份!R10)</f>
        <v>1</v>
      </c>
      <c r="R10" s="33" cm="1">
        <f t="array" ref="R10">fc(魚類月份!S10)</f>
        <v>1</v>
      </c>
      <c r="S10" s="63" t="s">
        <v>197</v>
      </c>
    </row>
    <row r="11" spans="1:19" x14ac:dyDescent="0.2">
      <c r="A11" s="73"/>
      <c r="B11" s="63"/>
      <c r="C11" s="74"/>
      <c r="D11" s="75"/>
      <c r="E11" s="76"/>
      <c r="F11" s="35" t="s">
        <v>198</v>
      </c>
      <c r="G11" s="33" cm="1">
        <f t="array" ref="G11">fc(魚類月份!H11)</f>
        <v>1</v>
      </c>
      <c r="H11" s="33" cm="1">
        <f t="array" ref="H11">fc(魚類月份!I11)</f>
        <v>1</v>
      </c>
      <c r="I11" s="33" cm="1">
        <f t="array" ref="I11">fc(魚類月份!J11)</f>
        <v>1</v>
      </c>
      <c r="J11" s="33" cm="1">
        <f t="array" ref="J11">fc(魚類月份!K11)</f>
        <v>1</v>
      </c>
      <c r="K11" s="33" cm="1">
        <f t="array" ref="K11">fc(魚類月份!L11)</f>
        <v>1</v>
      </c>
      <c r="L11" s="33" cm="1">
        <f t="array" ref="L11">fc(魚類月份!M11)</f>
        <v>1</v>
      </c>
      <c r="M11" s="33" cm="1">
        <f t="array" ref="M11">fc(魚類月份!N11)</f>
        <v>1</v>
      </c>
      <c r="N11" s="33" cm="1">
        <f t="array" ref="N11">fc(魚類月份!O11)</f>
        <v>1</v>
      </c>
      <c r="O11" s="33" cm="1">
        <f t="array" ref="O11">fc(魚類月份!P11)</f>
        <v>1</v>
      </c>
      <c r="P11" s="33" cm="1">
        <f t="array" ref="P11">fc(魚類月份!Q11)</f>
        <v>1</v>
      </c>
      <c r="Q11" s="33" cm="1">
        <f t="array" ref="Q11">fc(魚類月份!R11)</f>
        <v>1</v>
      </c>
      <c r="R11" s="33" cm="1">
        <f t="array" ref="R11">fc(魚類月份!S11)</f>
        <v>1</v>
      </c>
      <c r="S11" s="63"/>
    </row>
    <row r="12" spans="1:19" ht="15" customHeight="1" x14ac:dyDescent="0.2">
      <c r="A12" s="72" t="str">
        <f>SUBSTITUTE(SUBSTITUTE(魚類月份!B12,CHAR(13),","),CHAR(10),",")</f>
        <v>錦鯉,Koi</v>
      </c>
      <c r="B12" s="68">
        <v>3200</v>
      </c>
      <c r="C12" s="69">
        <f>B12/0.8</f>
        <v>4000</v>
      </c>
      <c r="D12" s="70" t="s">
        <v>203</v>
      </c>
      <c r="E12" s="71" t="s">
        <v>204</v>
      </c>
      <c r="F12" s="37" t="s">
        <v>184</v>
      </c>
      <c r="G12" s="33" cm="1">
        <f t="array" ref="G12">fc(魚類月份!H12)</f>
        <v>1</v>
      </c>
      <c r="H12" s="33" cm="1">
        <f t="array" ref="H12">fc(魚類月份!I12)</f>
        <v>1</v>
      </c>
      <c r="I12" s="33" cm="1">
        <f t="array" ref="I12">fc(魚類月份!J12)</f>
        <v>1</v>
      </c>
      <c r="J12" s="33" cm="1">
        <f t="array" ref="J12">fc(魚類月份!K12)</f>
        <v>1</v>
      </c>
      <c r="K12" s="33" cm="1">
        <f t="array" ref="K12">fc(魚類月份!L12)</f>
        <v>1</v>
      </c>
      <c r="L12" s="33" cm="1">
        <f t="array" ref="L12">fc(魚類月份!M12)</f>
        <v>1</v>
      </c>
      <c r="M12" s="33" cm="1">
        <f t="array" ref="M12">fc(魚類月份!N12)</f>
        <v>1</v>
      </c>
      <c r="N12" s="33" cm="1">
        <f t="array" ref="N12">fc(魚類月份!O12)</f>
        <v>1</v>
      </c>
      <c r="O12" s="33" cm="1">
        <f t="array" ref="O12">fc(魚類月份!P12)</f>
        <v>1</v>
      </c>
      <c r="P12" s="33" cm="1">
        <f t="array" ref="P12">fc(魚類月份!Q12)</f>
        <v>1</v>
      </c>
      <c r="Q12" s="33" cm="1">
        <f t="array" ref="Q12">fc(魚類月份!R12)</f>
        <v>1</v>
      </c>
      <c r="R12" s="33" cm="1">
        <f t="array" ref="R12">fc(魚類月份!S12)</f>
        <v>1</v>
      </c>
      <c r="S12" s="68" t="s">
        <v>202</v>
      </c>
    </row>
    <row r="13" spans="1:19" x14ac:dyDescent="0.2">
      <c r="A13" s="73"/>
      <c r="B13" s="68"/>
      <c r="C13" s="69"/>
      <c r="D13" s="70"/>
      <c r="E13" s="71"/>
      <c r="F13" s="39" t="s">
        <v>198</v>
      </c>
      <c r="G13" s="33" cm="1">
        <f t="array" ref="G13">fc(魚類月份!H13)</f>
        <v>1</v>
      </c>
      <c r="H13" s="33" cm="1">
        <f t="array" ref="H13">fc(魚類月份!I13)</f>
        <v>1</v>
      </c>
      <c r="I13" s="33" cm="1">
        <f t="array" ref="I13">fc(魚類月份!J13)</f>
        <v>1</v>
      </c>
      <c r="J13" s="33" cm="1">
        <f t="array" ref="J13">fc(魚類月份!K13)</f>
        <v>1</v>
      </c>
      <c r="K13" s="33" cm="1">
        <f t="array" ref="K13">fc(魚類月份!L13)</f>
        <v>1</v>
      </c>
      <c r="L13" s="33" cm="1">
        <f t="array" ref="L13">fc(魚類月份!M13)</f>
        <v>1</v>
      </c>
      <c r="M13" s="33" cm="1">
        <f t="array" ref="M13">fc(魚類月份!N13)</f>
        <v>1</v>
      </c>
      <c r="N13" s="33" cm="1">
        <f t="array" ref="N13">fc(魚類月份!O13)</f>
        <v>1</v>
      </c>
      <c r="O13" s="33" cm="1">
        <f t="array" ref="O13">fc(魚類月份!P13)</f>
        <v>1</v>
      </c>
      <c r="P13" s="33" cm="1">
        <f t="array" ref="P13">fc(魚類月份!Q13)</f>
        <v>1</v>
      </c>
      <c r="Q13" s="33" cm="1">
        <f t="array" ref="Q13">fc(魚類月份!R13)</f>
        <v>1</v>
      </c>
      <c r="R13" s="33" cm="1">
        <f t="array" ref="R13">fc(魚類月份!S13)</f>
        <v>1</v>
      </c>
      <c r="S13" s="68"/>
    </row>
    <row r="14" spans="1:19" ht="15" customHeight="1" x14ac:dyDescent="0.2">
      <c r="A14" s="72" t="str">
        <f>SUBSTITUTE(SUBSTITUTE(魚類月份!B14,CHAR(13),","),CHAR(10),",")</f>
        <v>金魚,Goldfish</v>
      </c>
      <c r="B14" s="63">
        <v>1040</v>
      </c>
      <c r="C14" s="74">
        <f>B14/0.8</f>
        <v>1300</v>
      </c>
      <c r="D14" s="75" t="s">
        <v>203</v>
      </c>
      <c r="E14" s="76" t="s">
        <v>183</v>
      </c>
      <c r="F14" s="32" t="s">
        <v>184</v>
      </c>
      <c r="G14" s="33" cm="1">
        <f t="array" ref="G14">fc(魚類月份!H14)</f>
        <v>1</v>
      </c>
      <c r="H14" s="33" cm="1">
        <f t="array" ref="H14">fc(魚類月份!I14)</f>
        <v>1</v>
      </c>
      <c r="I14" s="33" cm="1">
        <f t="array" ref="I14">fc(魚類月份!J14)</f>
        <v>1</v>
      </c>
      <c r="J14" s="33" cm="1">
        <f t="array" ref="J14">fc(魚類月份!K14)</f>
        <v>1</v>
      </c>
      <c r="K14" s="33" cm="1">
        <f t="array" ref="K14">fc(魚類月份!L14)</f>
        <v>1</v>
      </c>
      <c r="L14" s="33" cm="1">
        <f t="array" ref="L14">fc(魚類月份!M14)</f>
        <v>1</v>
      </c>
      <c r="M14" s="33" cm="1">
        <f t="array" ref="M14">fc(魚類月份!N14)</f>
        <v>1</v>
      </c>
      <c r="N14" s="33" cm="1">
        <f t="array" ref="N14">fc(魚類月份!O14)</f>
        <v>1</v>
      </c>
      <c r="O14" s="33" cm="1">
        <f t="array" ref="O14">fc(魚類月份!P14)</f>
        <v>1</v>
      </c>
      <c r="P14" s="33" cm="1">
        <f t="array" ref="P14">fc(魚類月份!Q14)</f>
        <v>1</v>
      </c>
      <c r="Q14" s="33" cm="1">
        <f t="array" ref="Q14">fc(魚類月份!R14)</f>
        <v>1</v>
      </c>
      <c r="R14" s="33" cm="1">
        <f t="array" ref="R14">fc(魚類月份!S14)</f>
        <v>1</v>
      </c>
      <c r="S14" s="63" t="s">
        <v>197</v>
      </c>
    </row>
    <row r="15" spans="1:19" x14ac:dyDescent="0.2">
      <c r="A15" s="73"/>
      <c r="B15" s="63"/>
      <c r="C15" s="74"/>
      <c r="D15" s="75"/>
      <c r="E15" s="76"/>
      <c r="F15" s="35" t="s">
        <v>198</v>
      </c>
      <c r="G15" s="33" cm="1">
        <f t="array" ref="G15">fc(魚類月份!H15)</f>
        <v>1</v>
      </c>
      <c r="H15" s="33" cm="1">
        <f t="array" ref="H15">fc(魚類月份!I15)</f>
        <v>1</v>
      </c>
      <c r="I15" s="33" cm="1">
        <f t="array" ref="I15">fc(魚類月份!J15)</f>
        <v>1</v>
      </c>
      <c r="J15" s="33" cm="1">
        <f t="array" ref="J15">fc(魚類月份!K15)</f>
        <v>1</v>
      </c>
      <c r="K15" s="33" cm="1">
        <f t="array" ref="K15">fc(魚類月份!L15)</f>
        <v>1</v>
      </c>
      <c r="L15" s="33" cm="1">
        <f t="array" ref="L15">fc(魚類月份!M15)</f>
        <v>1</v>
      </c>
      <c r="M15" s="33" cm="1">
        <f t="array" ref="M15">fc(魚類月份!N15)</f>
        <v>1</v>
      </c>
      <c r="N15" s="33" cm="1">
        <f t="array" ref="N15">fc(魚類月份!O15)</f>
        <v>1</v>
      </c>
      <c r="O15" s="33" cm="1">
        <f t="array" ref="O15">fc(魚類月份!P15)</f>
        <v>1</v>
      </c>
      <c r="P15" s="33" cm="1">
        <f t="array" ref="P15">fc(魚類月份!Q15)</f>
        <v>1</v>
      </c>
      <c r="Q15" s="33" cm="1">
        <f t="array" ref="Q15">fc(魚類月份!R15)</f>
        <v>1</v>
      </c>
      <c r="R15" s="33" cm="1">
        <f t="array" ref="R15">fc(魚類月份!S15)</f>
        <v>1</v>
      </c>
      <c r="S15" s="63"/>
    </row>
    <row r="16" spans="1:19" ht="15" customHeight="1" x14ac:dyDescent="0.2">
      <c r="A16" s="72" t="str">
        <f>SUBSTITUTE(SUBSTITUTE(魚類月份!B16,CHAR(13),","),CHAR(10),",")</f>
        <v>龍睛金魚,Pop-eyed goldfish</v>
      </c>
      <c r="B16" s="68">
        <v>1040</v>
      </c>
      <c r="C16" s="69">
        <f>B16/0.8</f>
        <v>1300</v>
      </c>
      <c r="D16" s="70" t="s">
        <v>203</v>
      </c>
      <c r="E16" s="71" t="s">
        <v>183</v>
      </c>
      <c r="F16" s="37" t="s">
        <v>184</v>
      </c>
      <c r="G16" s="33" cm="1">
        <f t="array" ref="G16">fc(魚類月份!H16)</f>
        <v>1</v>
      </c>
      <c r="H16" s="33" cm="1">
        <f t="array" ref="H16">fc(魚類月份!I16)</f>
        <v>1</v>
      </c>
      <c r="I16" s="33" cm="1">
        <f t="array" ref="I16">fc(魚類月份!J16)</f>
        <v>1</v>
      </c>
      <c r="J16" s="33" cm="1">
        <f t="array" ref="J16">fc(魚類月份!K16)</f>
        <v>1</v>
      </c>
      <c r="K16" s="33" cm="1">
        <f t="array" ref="K16">fc(魚類月份!L16)</f>
        <v>1</v>
      </c>
      <c r="L16" s="33" cm="1">
        <f t="array" ref="L16">fc(魚類月份!M16)</f>
        <v>1</v>
      </c>
      <c r="M16" s="33" cm="1">
        <f t="array" ref="M16">fc(魚類月份!N16)</f>
        <v>1</v>
      </c>
      <c r="N16" s="33" cm="1">
        <f t="array" ref="N16">fc(魚類月份!O16)</f>
        <v>1</v>
      </c>
      <c r="O16" s="33" cm="1">
        <f t="array" ref="O16">fc(魚類月份!P16)</f>
        <v>1</v>
      </c>
      <c r="P16" s="33" cm="1">
        <f t="array" ref="P16">fc(魚類月份!Q16)</f>
        <v>1</v>
      </c>
      <c r="Q16" s="33" cm="1">
        <f t="array" ref="Q16">fc(魚類月份!R16)</f>
        <v>1</v>
      </c>
      <c r="R16" s="33" cm="1">
        <f t="array" ref="R16">fc(魚類月份!S16)</f>
        <v>1</v>
      </c>
      <c r="S16" s="68" t="s">
        <v>199</v>
      </c>
    </row>
    <row r="17" spans="1:19" x14ac:dyDescent="0.2">
      <c r="A17" s="73"/>
      <c r="B17" s="68"/>
      <c r="C17" s="69"/>
      <c r="D17" s="70"/>
      <c r="E17" s="71"/>
      <c r="F17" s="39" t="s">
        <v>198</v>
      </c>
      <c r="G17" s="33" cm="1">
        <f t="array" ref="G17">fc(魚類月份!H17)</f>
        <v>1</v>
      </c>
      <c r="H17" s="33" cm="1">
        <f t="array" ref="H17">fc(魚類月份!I17)</f>
        <v>1</v>
      </c>
      <c r="I17" s="33" cm="1">
        <f t="array" ref="I17">fc(魚類月份!J17)</f>
        <v>1</v>
      </c>
      <c r="J17" s="33" cm="1">
        <f t="array" ref="J17">fc(魚類月份!K17)</f>
        <v>1</v>
      </c>
      <c r="K17" s="33" cm="1">
        <f t="array" ref="K17">fc(魚類月份!L17)</f>
        <v>1</v>
      </c>
      <c r="L17" s="33" cm="1">
        <f t="array" ref="L17">fc(魚類月份!M17)</f>
        <v>1</v>
      </c>
      <c r="M17" s="33" cm="1">
        <f t="array" ref="M17">fc(魚類月份!N17)</f>
        <v>1</v>
      </c>
      <c r="N17" s="33" cm="1">
        <f t="array" ref="N17">fc(魚類月份!O17)</f>
        <v>1</v>
      </c>
      <c r="O17" s="33" cm="1">
        <f t="array" ref="O17">fc(魚類月份!P17)</f>
        <v>1</v>
      </c>
      <c r="P17" s="33" cm="1">
        <f t="array" ref="P17">fc(魚類月份!Q17)</f>
        <v>1</v>
      </c>
      <c r="Q17" s="33" cm="1">
        <f t="array" ref="Q17">fc(魚類月份!R17)</f>
        <v>1</v>
      </c>
      <c r="R17" s="33" cm="1">
        <f t="array" ref="R17">fc(魚類月份!S17)</f>
        <v>1</v>
      </c>
      <c r="S17" s="68"/>
    </row>
    <row r="18" spans="1:19" ht="15" customHeight="1" x14ac:dyDescent="0.2">
      <c r="A18" s="72" t="str">
        <f>SUBSTITUTE(SUBSTITUTE(魚類月份!B18,CHAR(13),","),CHAR(10),",")</f>
        <v>藍壽金魚,Ranchu goldfish</v>
      </c>
      <c r="B18" s="63">
        <v>3600</v>
      </c>
      <c r="C18" s="74">
        <f>B18/0.8</f>
        <v>4500</v>
      </c>
      <c r="D18" s="75" t="s">
        <v>203</v>
      </c>
      <c r="E18" s="76" t="s">
        <v>200</v>
      </c>
      <c r="F18" s="32" t="s">
        <v>184</v>
      </c>
      <c r="G18" s="33" cm="1">
        <f t="array" ref="G18">fc(魚類月份!H18)</f>
        <v>1</v>
      </c>
      <c r="H18" s="33" cm="1">
        <f t="array" ref="H18">fc(魚類月份!I18)</f>
        <v>1</v>
      </c>
      <c r="I18" s="33" cm="1">
        <f t="array" ref="I18">fc(魚類月份!J18)</f>
        <v>1</v>
      </c>
      <c r="J18" s="33" cm="1">
        <f t="array" ref="J18">fc(魚類月份!K18)</f>
        <v>1</v>
      </c>
      <c r="K18" s="33" cm="1">
        <f t="array" ref="K18">fc(魚類月份!L18)</f>
        <v>1</v>
      </c>
      <c r="L18" s="33" cm="1">
        <f t="array" ref="L18">fc(魚類月份!M18)</f>
        <v>1</v>
      </c>
      <c r="M18" s="33" cm="1">
        <f t="array" ref="M18">fc(魚類月份!N18)</f>
        <v>1</v>
      </c>
      <c r="N18" s="33" cm="1">
        <f t="array" ref="N18">fc(魚類月份!O18)</f>
        <v>1</v>
      </c>
      <c r="O18" s="33" cm="1">
        <f t="array" ref="O18">fc(魚類月份!P18)</f>
        <v>1</v>
      </c>
      <c r="P18" s="33" cm="1">
        <f t="array" ref="P18">fc(魚類月份!Q18)</f>
        <v>1</v>
      </c>
      <c r="Q18" s="33" cm="1">
        <f t="array" ref="Q18">fc(魚類月份!R18)</f>
        <v>1</v>
      </c>
      <c r="R18" s="33" cm="1">
        <f t="array" ref="R18">fc(魚類月份!S18)</f>
        <v>1</v>
      </c>
      <c r="S18" s="63" t="s">
        <v>199</v>
      </c>
    </row>
    <row r="19" spans="1:19" x14ac:dyDescent="0.2">
      <c r="A19" s="73"/>
      <c r="B19" s="63"/>
      <c r="C19" s="74"/>
      <c r="D19" s="75"/>
      <c r="E19" s="76"/>
      <c r="F19" s="35" t="s">
        <v>198</v>
      </c>
      <c r="G19" s="33" cm="1">
        <f t="array" ref="G19">fc(魚類月份!H19)</f>
        <v>1</v>
      </c>
      <c r="H19" s="33" cm="1">
        <f t="array" ref="H19">fc(魚類月份!I19)</f>
        <v>1</v>
      </c>
      <c r="I19" s="33" cm="1">
        <f t="array" ref="I19">fc(魚類月份!J19)</f>
        <v>1</v>
      </c>
      <c r="J19" s="33" cm="1">
        <f t="array" ref="J19">fc(魚類月份!K19)</f>
        <v>1</v>
      </c>
      <c r="K19" s="33" cm="1">
        <f t="array" ref="K19">fc(魚類月份!L19)</f>
        <v>1</v>
      </c>
      <c r="L19" s="33" cm="1">
        <f t="array" ref="L19">fc(魚類月份!M19)</f>
        <v>1</v>
      </c>
      <c r="M19" s="33" cm="1">
        <f t="array" ref="M19">fc(魚類月份!N19)</f>
        <v>1</v>
      </c>
      <c r="N19" s="33" cm="1">
        <f t="array" ref="N19">fc(魚類月份!O19)</f>
        <v>1</v>
      </c>
      <c r="O19" s="33" cm="1">
        <f t="array" ref="O19">fc(魚類月份!P19)</f>
        <v>1</v>
      </c>
      <c r="P19" s="33" cm="1">
        <f t="array" ref="P19">fc(魚類月份!Q19)</f>
        <v>1</v>
      </c>
      <c r="Q19" s="33" cm="1">
        <f t="array" ref="Q19">fc(魚類月份!R19)</f>
        <v>1</v>
      </c>
      <c r="R19" s="33" cm="1">
        <f t="array" ref="R19">fc(魚類月份!S19)</f>
        <v>1</v>
      </c>
      <c r="S19" s="63"/>
    </row>
    <row r="20" spans="1:19" ht="15" customHeight="1" x14ac:dyDescent="0.2">
      <c r="A20" s="72" t="str">
        <f>SUBSTITUTE(SUBSTITUTE(魚類月份!B20,CHAR(13),","),CHAR(10),",")</f>
        <v>淡水龍蝦,Crawfish</v>
      </c>
      <c r="B20" s="63">
        <v>160</v>
      </c>
      <c r="C20" s="74">
        <f>B20/0.8</f>
        <v>200</v>
      </c>
      <c r="D20" s="75" t="s">
        <v>203</v>
      </c>
      <c r="E20" s="76" t="s">
        <v>200</v>
      </c>
      <c r="F20" s="32" t="s">
        <v>184</v>
      </c>
      <c r="G20" s="33" cm="1">
        <f t="array" ref="G20">fc(魚類月份!H20)</f>
        <v>0</v>
      </c>
      <c r="H20" s="33" cm="1">
        <f t="array" ref="H20">fc(魚類月份!I20)</f>
        <v>0</v>
      </c>
      <c r="I20" s="33" cm="1">
        <f t="array" ref="I20">fc(魚類月份!J20)</f>
        <v>0</v>
      </c>
      <c r="J20" s="33" cm="1">
        <f t="array" ref="J20">fc(魚類月份!K20)</f>
        <v>1</v>
      </c>
      <c r="K20" s="33" cm="1">
        <f t="array" ref="K20">fc(魚類月份!L20)</f>
        <v>1</v>
      </c>
      <c r="L20" s="33" cm="1">
        <f t="array" ref="L20">fc(魚類月份!M20)</f>
        <v>1</v>
      </c>
      <c r="M20" s="33" cm="1">
        <f t="array" ref="M20">fc(魚類月份!N20)</f>
        <v>1</v>
      </c>
      <c r="N20" s="33" cm="1">
        <f t="array" ref="N20">fc(魚類月份!O20)</f>
        <v>1</v>
      </c>
      <c r="O20" s="33" cm="1">
        <f t="array" ref="O20">fc(魚類月份!P20)</f>
        <v>1</v>
      </c>
      <c r="P20" s="33" cm="1">
        <f t="array" ref="P20">fc(魚類月份!Q20)</f>
        <v>0</v>
      </c>
      <c r="Q20" s="33" cm="1">
        <f t="array" ref="Q20">fc(魚類月份!R20)</f>
        <v>0</v>
      </c>
      <c r="R20" s="33" cm="1">
        <f t="array" ref="R20">fc(魚類月份!S20)</f>
        <v>0</v>
      </c>
      <c r="S20" s="63" t="s">
        <v>197</v>
      </c>
    </row>
    <row r="21" spans="1:19" x14ac:dyDescent="0.2">
      <c r="A21" s="73"/>
      <c r="B21" s="63"/>
      <c r="C21" s="74"/>
      <c r="D21" s="75"/>
      <c r="E21" s="76"/>
      <c r="F21" s="35" t="s">
        <v>198</v>
      </c>
      <c r="G21" s="33" cm="1">
        <f t="array" ref="G21">fc(魚類月份!H21)</f>
        <v>1</v>
      </c>
      <c r="H21" s="33" cm="1">
        <f t="array" ref="H21">fc(魚類月份!I21)</f>
        <v>1</v>
      </c>
      <c r="I21" s="33" cm="1">
        <f t="array" ref="I21">fc(魚類月份!J21)</f>
        <v>1</v>
      </c>
      <c r="J21" s="33" cm="1">
        <f t="array" ref="J21">fc(魚類月份!K21)</f>
        <v>0</v>
      </c>
      <c r="K21" s="33" cm="1">
        <f t="array" ref="K21">fc(魚類月份!L21)</f>
        <v>0</v>
      </c>
      <c r="L21" s="33" cm="1">
        <f t="array" ref="L21">fc(魚類月份!M21)</f>
        <v>0</v>
      </c>
      <c r="M21" s="33" cm="1">
        <f t="array" ref="M21">fc(魚類月份!N21)</f>
        <v>0</v>
      </c>
      <c r="N21" s="33" cm="1">
        <f t="array" ref="N21">fc(魚類月份!O21)</f>
        <v>0</v>
      </c>
      <c r="O21" s="33" cm="1">
        <f t="array" ref="O21">fc(魚類月份!P21)</f>
        <v>0</v>
      </c>
      <c r="P21" s="33" cm="1">
        <f t="array" ref="P21">fc(魚類月份!Q21)</f>
        <v>1</v>
      </c>
      <c r="Q21" s="33" cm="1">
        <f t="array" ref="Q21">fc(魚類月份!R21)</f>
        <v>1</v>
      </c>
      <c r="R21" s="33" cm="1">
        <f t="array" ref="R21">fc(魚類月份!S21)</f>
        <v>1</v>
      </c>
      <c r="S21" s="63"/>
    </row>
    <row r="22" spans="1:19" ht="15" customHeight="1" x14ac:dyDescent="0.2">
      <c r="A22" s="72" t="str">
        <f>SUBSTITUTE(SUBSTITUTE(魚類月份!B22,CHAR(13),","),CHAR(10),",")</f>
        <v>鱉,Soft-shelled turtle</v>
      </c>
      <c r="B22" s="68">
        <v>3000</v>
      </c>
      <c r="C22" s="69">
        <f>B22/0.8</f>
        <v>3750</v>
      </c>
      <c r="D22" s="70" t="s">
        <v>182</v>
      </c>
      <c r="E22" s="71" t="s">
        <v>204</v>
      </c>
      <c r="F22" s="37" t="s">
        <v>184</v>
      </c>
      <c r="G22" s="33" cm="1">
        <f t="array" ref="G22">fc(魚類月份!H22)</f>
        <v>0</v>
      </c>
      <c r="H22" s="33" cm="1">
        <f t="array" ref="H22">fc(魚類月份!I22)</f>
        <v>0</v>
      </c>
      <c r="I22" s="33" cm="1">
        <f t="array" ref="I22">fc(魚類月份!J22)</f>
        <v>0</v>
      </c>
      <c r="J22" s="33" cm="1">
        <f t="array" ref="J22">fc(魚類月份!K22)</f>
        <v>0</v>
      </c>
      <c r="K22" s="33" cm="1">
        <f t="array" ref="K22">fc(魚類月份!L22)</f>
        <v>0</v>
      </c>
      <c r="L22" s="33" cm="1">
        <f t="array" ref="L22">fc(魚類月份!M22)</f>
        <v>0</v>
      </c>
      <c r="M22" s="33" cm="1">
        <f t="array" ref="M22">fc(魚類月份!N22)</f>
        <v>0</v>
      </c>
      <c r="N22" s="33" cm="1">
        <f t="array" ref="N22">fc(魚類月份!O22)</f>
        <v>1</v>
      </c>
      <c r="O22" s="33" cm="1">
        <f t="array" ref="O22">fc(魚類月份!P22)</f>
        <v>1</v>
      </c>
      <c r="P22" s="33" cm="1">
        <f t="array" ref="P22">fc(魚類月份!Q22)</f>
        <v>0</v>
      </c>
      <c r="Q22" s="33" cm="1">
        <f t="array" ref="Q22">fc(魚類月份!R22)</f>
        <v>0</v>
      </c>
      <c r="R22" s="33" cm="1">
        <f t="array" ref="R22">fc(魚類月份!S22)</f>
        <v>0</v>
      </c>
      <c r="S22" s="68" t="s">
        <v>202</v>
      </c>
    </row>
    <row r="23" spans="1:19" x14ac:dyDescent="0.2">
      <c r="A23" s="73"/>
      <c r="B23" s="68"/>
      <c r="C23" s="69"/>
      <c r="D23" s="70"/>
      <c r="E23" s="71"/>
      <c r="F23" s="39" t="s">
        <v>198</v>
      </c>
      <c r="G23" s="33" cm="1">
        <f t="array" ref="G23">fc(魚類月份!H23)</f>
        <v>0</v>
      </c>
      <c r="H23" s="33" cm="1">
        <f t="array" ref="H23">fc(魚類月份!I23)</f>
        <v>1</v>
      </c>
      <c r="I23" s="33" cm="1">
        <f t="array" ref="I23">fc(魚類月份!J23)</f>
        <v>1</v>
      </c>
      <c r="J23" s="33" cm="1">
        <f t="array" ref="J23">fc(魚類月份!K23)</f>
        <v>0</v>
      </c>
      <c r="K23" s="33" cm="1">
        <f t="array" ref="K23">fc(魚類月份!L23)</f>
        <v>0</v>
      </c>
      <c r="L23" s="33" cm="1">
        <f t="array" ref="L23">fc(魚類月份!M23)</f>
        <v>0</v>
      </c>
      <c r="M23" s="33" cm="1">
        <f t="array" ref="M23">fc(魚類月份!N23)</f>
        <v>0</v>
      </c>
      <c r="N23" s="33" cm="1">
        <f t="array" ref="N23">fc(魚類月份!O23)</f>
        <v>0</v>
      </c>
      <c r="O23" s="33" cm="1">
        <f t="array" ref="O23">fc(魚類月份!P23)</f>
        <v>0</v>
      </c>
      <c r="P23" s="33" cm="1">
        <f t="array" ref="P23">fc(魚類月份!Q23)</f>
        <v>0</v>
      </c>
      <c r="Q23" s="33" cm="1">
        <f t="array" ref="Q23">fc(魚類月份!R23)</f>
        <v>0</v>
      </c>
      <c r="R23" s="33" cm="1">
        <f t="array" ref="R23">fc(魚類月份!S23)</f>
        <v>0</v>
      </c>
      <c r="S23" s="68"/>
    </row>
    <row r="24" spans="1:19" ht="15" customHeight="1" x14ac:dyDescent="0.2">
      <c r="A24" s="72" t="str">
        <f>SUBSTITUTE(SUBSTITUTE(魚類月份!B24,CHAR(13),","),CHAR(10),",")</f>
        <v>擬鱷龜,Snapping turtle</v>
      </c>
      <c r="B24" s="63">
        <v>4000</v>
      </c>
      <c r="C24" s="74">
        <f>B24/0.8</f>
        <v>5000</v>
      </c>
      <c r="D24" s="75" t="s">
        <v>182</v>
      </c>
      <c r="E24" s="76" t="s">
        <v>204</v>
      </c>
      <c r="F24" s="32" t="s">
        <v>184</v>
      </c>
      <c r="G24" s="33" cm="1">
        <f t="array" ref="G24">fc(魚類月份!H24)</f>
        <v>0</v>
      </c>
      <c r="H24" s="33" cm="1">
        <f t="array" ref="H24">fc(魚類月份!I24)</f>
        <v>0</v>
      </c>
      <c r="I24" s="33" cm="1">
        <f t="array" ref="I24">fc(魚類月份!J24)</f>
        <v>0</v>
      </c>
      <c r="J24" s="33" cm="1">
        <f t="array" ref="J24">fc(魚類月份!K24)</f>
        <v>1</v>
      </c>
      <c r="K24" s="33" cm="1">
        <f t="array" ref="K24">fc(魚類月份!L24)</f>
        <v>1</v>
      </c>
      <c r="L24" s="33" cm="1">
        <f t="array" ref="L24">fc(魚類月份!M24)</f>
        <v>1</v>
      </c>
      <c r="M24" s="33" cm="1">
        <f t="array" ref="M24">fc(魚類月份!N24)</f>
        <v>1</v>
      </c>
      <c r="N24" s="33" cm="1">
        <f t="array" ref="N24">fc(魚類月份!O24)</f>
        <v>1</v>
      </c>
      <c r="O24" s="33" cm="1">
        <f t="array" ref="O24">fc(魚類月份!P24)</f>
        <v>1</v>
      </c>
      <c r="P24" s="33" cm="1">
        <f t="array" ref="P24">fc(魚類月份!Q24)</f>
        <v>1</v>
      </c>
      <c r="Q24" s="33" cm="1">
        <f t="array" ref="Q24">fc(魚類月份!R24)</f>
        <v>0</v>
      </c>
      <c r="R24" s="33" cm="1">
        <f t="array" ref="R24">fc(魚類月份!S24)</f>
        <v>0</v>
      </c>
      <c r="S24" s="63" t="s">
        <v>205</v>
      </c>
    </row>
    <row r="25" spans="1:19" x14ac:dyDescent="0.2">
      <c r="A25" s="73"/>
      <c r="B25" s="63"/>
      <c r="C25" s="74"/>
      <c r="D25" s="75"/>
      <c r="E25" s="76"/>
      <c r="F25" s="35" t="s">
        <v>198</v>
      </c>
      <c r="G25" s="33" cm="1">
        <f t="array" ref="G25">fc(魚類月份!H25)</f>
        <v>1</v>
      </c>
      <c r="H25" s="33" cm="1">
        <f t="array" ref="H25">fc(魚類月份!I25)</f>
        <v>1</v>
      </c>
      <c r="I25" s="33" cm="1">
        <f t="array" ref="I25">fc(魚類月份!J25)</f>
        <v>1</v>
      </c>
      <c r="J25" s="33" cm="1">
        <f t="array" ref="J25">fc(魚類月份!K25)</f>
        <v>1</v>
      </c>
      <c r="K25" s="33" cm="1">
        <f t="array" ref="K25">fc(魚類月份!L25)</f>
        <v>0</v>
      </c>
      <c r="L25" s="33" cm="1">
        <f t="array" ref="L25">fc(魚類月份!M25)</f>
        <v>0</v>
      </c>
      <c r="M25" s="33" cm="1">
        <f t="array" ref="M25">fc(魚類月份!N25)</f>
        <v>0</v>
      </c>
      <c r="N25" s="33" cm="1">
        <f t="array" ref="N25">fc(魚類月份!O25)</f>
        <v>0</v>
      </c>
      <c r="O25" s="33" cm="1">
        <f t="array" ref="O25">fc(魚類月份!P25)</f>
        <v>0</v>
      </c>
      <c r="P25" s="33" cm="1">
        <f t="array" ref="P25">fc(魚類月份!Q25)</f>
        <v>1</v>
      </c>
      <c r="Q25" s="33" cm="1">
        <f t="array" ref="Q25">fc(魚類月份!R25)</f>
        <v>1</v>
      </c>
      <c r="R25" s="33" cm="1">
        <f t="array" ref="R25">fc(魚類月份!S25)</f>
        <v>1</v>
      </c>
      <c r="S25" s="63"/>
    </row>
    <row r="26" spans="1:19" ht="15" customHeight="1" x14ac:dyDescent="0.2">
      <c r="A26" s="72" t="str">
        <f>SUBSTITUTE(SUBSTITUTE(魚類月份!B26,CHAR(13),","),CHAR(10),",")</f>
        <v>蝌蚪,Tadpole</v>
      </c>
      <c r="B26" s="68">
        <v>80</v>
      </c>
      <c r="C26" s="69">
        <f>B26/0.8</f>
        <v>100</v>
      </c>
      <c r="D26" s="70" t="s">
        <v>203</v>
      </c>
      <c r="E26" s="71" t="s">
        <v>183</v>
      </c>
      <c r="F26" s="37" t="s">
        <v>184</v>
      </c>
      <c r="G26" s="33" cm="1">
        <f t="array" ref="G26">fc(魚類月份!H26)</f>
        <v>0</v>
      </c>
      <c r="H26" s="33" cm="1">
        <f t="array" ref="H26">fc(魚類月份!I26)</f>
        <v>0</v>
      </c>
      <c r="I26" s="33" cm="1">
        <f t="array" ref="I26">fc(魚類月份!J26)</f>
        <v>1</v>
      </c>
      <c r="J26" s="33" cm="1">
        <f t="array" ref="J26">fc(魚類月份!K26)</f>
        <v>1</v>
      </c>
      <c r="K26" s="33" cm="1">
        <f t="array" ref="K26">fc(魚類月份!L26)</f>
        <v>1</v>
      </c>
      <c r="L26" s="33" cm="1">
        <f t="array" ref="L26">fc(魚類月份!M26)</f>
        <v>1</v>
      </c>
      <c r="M26" s="33" cm="1">
        <f t="array" ref="M26">fc(魚類月份!N26)</f>
        <v>1</v>
      </c>
      <c r="N26" s="33" cm="1">
        <f t="array" ref="N26">fc(魚類月份!O26)</f>
        <v>0</v>
      </c>
      <c r="O26" s="33" cm="1">
        <f t="array" ref="O26">fc(魚類月份!P26)</f>
        <v>0</v>
      </c>
      <c r="P26" s="33" cm="1">
        <f t="array" ref="P26">fc(魚類月份!Q26)</f>
        <v>0</v>
      </c>
      <c r="Q26" s="33" cm="1">
        <f t="array" ref="Q26">fc(魚類月份!R26)</f>
        <v>0</v>
      </c>
      <c r="R26" s="33" cm="1">
        <f t="array" ref="R26">fc(魚類月份!S26)</f>
        <v>0</v>
      </c>
      <c r="S26" s="68" t="s">
        <v>197</v>
      </c>
    </row>
    <row r="27" spans="1:19" x14ac:dyDescent="0.2">
      <c r="A27" s="73"/>
      <c r="B27" s="68"/>
      <c r="C27" s="69"/>
      <c r="D27" s="70"/>
      <c r="E27" s="71"/>
      <c r="F27" s="39" t="s">
        <v>198</v>
      </c>
      <c r="G27" s="33" cm="1">
        <f t="array" ref="G27">fc(魚類月份!H27)</f>
        <v>1</v>
      </c>
      <c r="H27" s="33" cm="1">
        <f t="array" ref="H27">fc(魚類月份!I27)</f>
        <v>0</v>
      </c>
      <c r="I27" s="33" cm="1">
        <f t="array" ref="I27">fc(魚類月份!J27)</f>
        <v>0</v>
      </c>
      <c r="J27" s="33" cm="1">
        <f t="array" ref="J27">fc(魚類月份!K27)</f>
        <v>0</v>
      </c>
      <c r="K27" s="33" cm="1">
        <f t="array" ref="K27">fc(魚類月份!L27)</f>
        <v>0</v>
      </c>
      <c r="L27" s="33" cm="1">
        <f t="array" ref="L27">fc(魚類月份!M27)</f>
        <v>0</v>
      </c>
      <c r="M27" s="33" cm="1">
        <f t="array" ref="M27">fc(魚類月份!N27)</f>
        <v>0</v>
      </c>
      <c r="N27" s="33" cm="1">
        <f t="array" ref="N27">fc(魚類月份!O27)</f>
        <v>0</v>
      </c>
      <c r="O27" s="33" cm="1">
        <f t="array" ref="O27">fc(魚類月份!P27)</f>
        <v>1</v>
      </c>
      <c r="P27" s="33" cm="1">
        <f t="array" ref="P27">fc(魚類月份!Q27)</f>
        <v>1</v>
      </c>
      <c r="Q27" s="33" cm="1">
        <f t="array" ref="Q27">fc(魚類月份!R27)</f>
        <v>1</v>
      </c>
      <c r="R27" s="33" cm="1">
        <f t="array" ref="R27">fc(魚類月份!S27)</f>
        <v>1</v>
      </c>
      <c r="S27" s="68"/>
    </row>
    <row r="28" spans="1:19" ht="15" customHeight="1" x14ac:dyDescent="0.2">
      <c r="A28" s="72" t="str">
        <f>SUBSTITUTE(SUBSTITUTE(魚類月份!B28,CHAR(13),","),CHAR(10),",")</f>
        <v>青蛙,Frog</v>
      </c>
      <c r="B28" s="63">
        <v>96</v>
      </c>
      <c r="C28" s="74">
        <f>B28/0.8</f>
        <v>120</v>
      </c>
      <c r="D28" s="75" t="s">
        <v>203</v>
      </c>
      <c r="E28" s="76" t="s">
        <v>200</v>
      </c>
      <c r="F28" s="32" t="s">
        <v>184</v>
      </c>
      <c r="G28" s="33" cm="1">
        <f t="array" ref="G28">fc(魚類月份!H28)</f>
        <v>0</v>
      </c>
      <c r="H28" s="33" cm="1">
        <f t="array" ref="H28">fc(魚類月份!I28)</f>
        <v>0</v>
      </c>
      <c r="I28" s="33" cm="1">
        <f t="array" ref="I28">fc(魚類月份!J28)</f>
        <v>0</v>
      </c>
      <c r="J28" s="33" cm="1">
        <f t="array" ref="J28">fc(魚類月份!K28)</f>
        <v>0</v>
      </c>
      <c r="K28" s="33" cm="1">
        <f t="array" ref="K28">fc(魚類月份!L28)</f>
        <v>1</v>
      </c>
      <c r="L28" s="33" cm="1">
        <f t="array" ref="L28">fc(魚類月份!M28)</f>
        <v>1</v>
      </c>
      <c r="M28" s="33" cm="1">
        <f t="array" ref="M28">fc(魚類月份!N28)</f>
        <v>1</v>
      </c>
      <c r="N28" s="33" cm="1">
        <f t="array" ref="N28">fc(魚類月份!O28)</f>
        <v>1</v>
      </c>
      <c r="O28" s="33" cm="1">
        <f t="array" ref="O28">fc(魚類月份!P28)</f>
        <v>0</v>
      </c>
      <c r="P28" s="33" cm="1">
        <f t="array" ref="P28">fc(魚類月份!Q28)</f>
        <v>0</v>
      </c>
      <c r="Q28" s="33" cm="1">
        <f t="array" ref="Q28">fc(魚類月份!R28)</f>
        <v>0</v>
      </c>
      <c r="R28" s="33" cm="1">
        <f t="array" ref="R28">fc(魚類月份!S28)</f>
        <v>0</v>
      </c>
      <c r="S28" s="63" t="s">
        <v>197</v>
      </c>
    </row>
    <row r="29" spans="1:19" x14ac:dyDescent="0.2">
      <c r="A29" s="73"/>
      <c r="B29" s="63"/>
      <c r="C29" s="74"/>
      <c r="D29" s="75"/>
      <c r="E29" s="76"/>
      <c r="F29" s="35" t="s">
        <v>198</v>
      </c>
      <c r="G29" s="33" cm="1">
        <f t="array" ref="G29">fc(魚類月份!H29)</f>
        <v>1</v>
      </c>
      <c r="H29" s="33" cm="1">
        <f t="array" ref="H29">fc(魚類月份!I29)</f>
        <v>1</v>
      </c>
      <c r="I29" s="33" cm="1">
        <f t="array" ref="I29">fc(魚類月份!J29)</f>
        <v>0</v>
      </c>
      <c r="J29" s="33" cm="1">
        <f t="array" ref="J29">fc(魚類月份!K29)</f>
        <v>0</v>
      </c>
      <c r="K29" s="33" cm="1">
        <f t="array" ref="K29">fc(魚類月份!L29)</f>
        <v>0</v>
      </c>
      <c r="L29" s="33" cm="1">
        <f t="array" ref="L29">fc(魚類月份!M29)</f>
        <v>0</v>
      </c>
      <c r="M29" s="33" cm="1">
        <f t="array" ref="M29">fc(魚類月份!N29)</f>
        <v>0</v>
      </c>
      <c r="N29" s="33" cm="1">
        <f t="array" ref="N29">fc(魚類月份!O29)</f>
        <v>0</v>
      </c>
      <c r="O29" s="33" cm="1">
        <f t="array" ref="O29">fc(魚類月份!P29)</f>
        <v>0</v>
      </c>
      <c r="P29" s="33" cm="1">
        <f t="array" ref="P29">fc(魚類月份!Q29)</f>
        <v>0</v>
      </c>
      <c r="Q29" s="33" cm="1">
        <f t="array" ref="Q29">fc(魚類月份!R29)</f>
        <v>1</v>
      </c>
      <c r="R29" s="33" cm="1">
        <f t="array" ref="R29">fc(魚類月份!S29)</f>
        <v>1</v>
      </c>
      <c r="S29" s="63"/>
    </row>
    <row r="30" spans="1:19" ht="15" customHeight="1" x14ac:dyDescent="0.2">
      <c r="A30" s="72" t="str">
        <f>SUBSTITUTE(SUBSTITUTE(魚類月份!B30,CHAR(13),","),CHAR(10),",")</f>
        <v>塘鱧魚,Freshwater goby</v>
      </c>
      <c r="B30" s="68">
        <v>320</v>
      </c>
      <c r="C30" s="69">
        <f>B30/0.8</f>
        <v>400</v>
      </c>
      <c r="D30" s="70" t="s">
        <v>182</v>
      </c>
      <c r="E30" s="71" t="s">
        <v>200</v>
      </c>
      <c r="F30" s="37" t="s">
        <v>184</v>
      </c>
      <c r="G30" s="33" cm="1">
        <f t="array" ref="G30">fc(魚類月份!H30)</f>
        <v>1</v>
      </c>
      <c r="H30" s="33" cm="1">
        <f t="array" ref="H30">fc(魚類月份!I30)</f>
        <v>1</v>
      </c>
      <c r="I30" s="33" cm="1">
        <f t="array" ref="I30">fc(魚類月份!J30)</f>
        <v>1</v>
      </c>
      <c r="J30" s="33" cm="1">
        <f t="array" ref="J30">fc(魚類月份!K30)</f>
        <v>1</v>
      </c>
      <c r="K30" s="33" cm="1">
        <f t="array" ref="K30">fc(魚類月份!L30)</f>
        <v>1</v>
      </c>
      <c r="L30" s="33" cm="1">
        <f t="array" ref="L30">fc(魚類月份!M30)</f>
        <v>1</v>
      </c>
      <c r="M30" s="33" cm="1">
        <f t="array" ref="M30">fc(魚類月份!N30)</f>
        <v>1</v>
      </c>
      <c r="N30" s="33" cm="1">
        <f t="array" ref="N30">fc(魚類月份!O30)</f>
        <v>1</v>
      </c>
      <c r="O30" s="33" cm="1">
        <f t="array" ref="O30">fc(魚類月份!P30)</f>
        <v>1</v>
      </c>
      <c r="P30" s="33" cm="1">
        <f t="array" ref="P30">fc(魚類月份!Q30)</f>
        <v>1</v>
      </c>
      <c r="Q30" s="33" cm="1">
        <f t="array" ref="Q30">fc(魚類月份!R30)</f>
        <v>1</v>
      </c>
      <c r="R30" s="33" cm="1">
        <f t="array" ref="R30">fc(魚類月份!S30)</f>
        <v>1</v>
      </c>
      <c r="S30" s="68" t="s">
        <v>202</v>
      </c>
    </row>
    <row r="31" spans="1:19" x14ac:dyDescent="0.2">
      <c r="A31" s="73"/>
      <c r="B31" s="68"/>
      <c r="C31" s="69"/>
      <c r="D31" s="70"/>
      <c r="E31" s="71"/>
      <c r="F31" s="39" t="s">
        <v>198</v>
      </c>
      <c r="G31" s="33" cm="1">
        <f t="array" ref="G31">fc(魚類月份!H31)</f>
        <v>1</v>
      </c>
      <c r="H31" s="33" cm="1">
        <f t="array" ref="H31">fc(魚類月份!I31)</f>
        <v>1</v>
      </c>
      <c r="I31" s="33" cm="1">
        <f t="array" ref="I31">fc(魚類月份!J31)</f>
        <v>1</v>
      </c>
      <c r="J31" s="33" cm="1">
        <f t="array" ref="J31">fc(魚類月份!K31)</f>
        <v>1</v>
      </c>
      <c r="K31" s="33" cm="1">
        <f t="array" ref="K31">fc(魚類月份!L31)</f>
        <v>1</v>
      </c>
      <c r="L31" s="33" cm="1">
        <f t="array" ref="L31">fc(魚類月份!M31)</f>
        <v>1</v>
      </c>
      <c r="M31" s="33" cm="1">
        <f t="array" ref="M31">fc(魚類月份!N31)</f>
        <v>1</v>
      </c>
      <c r="N31" s="33" cm="1">
        <f t="array" ref="N31">fc(魚類月份!O31)</f>
        <v>1</v>
      </c>
      <c r="O31" s="33" cm="1">
        <f t="array" ref="O31">fc(魚類月份!P31)</f>
        <v>1</v>
      </c>
      <c r="P31" s="33" cm="1">
        <f t="array" ref="P31">fc(魚類月份!Q31)</f>
        <v>1</v>
      </c>
      <c r="Q31" s="33" cm="1">
        <f t="array" ref="Q31">fc(魚類月份!R31)</f>
        <v>1</v>
      </c>
      <c r="R31" s="33" cm="1">
        <f t="array" ref="R31">fc(魚類月份!S31)</f>
        <v>1</v>
      </c>
      <c r="S31" s="68"/>
    </row>
    <row r="32" spans="1:19" ht="15" customHeight="1" x14ac:dyDescent="0.2">
      <c r="A32" s="72" t="str">
        <f>SUBSTITUTE(SUBSTITUTE(魚類月份!B32,CHAR(13),","),CHAR(10),",")</f>
        <v>泥鰍,Loach</v>
      </c>
      <c r="B32" s="63">
        <v>320</v>
      </c>
      <c r="C32" s="74">
        <f>B32/0.8</f>
        <v>400</v>
      </c>
      <c r="D32" s="75" t="s">
        <v>182</v>
      </c>
      <c r="E32" s="76" t="s">
        <v>200</v>
      </c>
      <c r="F32" s="32" t="s">
        <v>184</v>
      </c>
      <c r="G32" s="33" cm="1">
        <f t="array" ref="G32">fc(魚類月份!H32)</f>
        <v>0</v>
      </c>
      <c r="H32" s="33" cm="1">
        <f t="array" ref="H32">fc(魚類月份!I32)</f>
        <v>0</v>
      </c>
      <c r="I32" s="33" cm="1">
        <f t="array" ref="I32">fc(魚類月份!J32)</f>
        <v>1</v>
      </c>
      <c r="J32" s="33" cm="1">
        <f t="array" ref="J32">fc(魚類月份!K32)</f>
        <v>1</v>
      </c>
      <c r="K32" s="33" cm="1">
        <f t="array" ref="K32">fc(魚類月份!L32)</f>
        <v>1</v>
      </c>
      <c r="L32" s="33" cm="1">
        <f t="array" ref="L32">fc(魚類月份!M32)</f>
        <v>0</v>
      </c>
      <c r="M32" s="33" cm="1">
        <f t="array" ref="M32">fc(魚類月份!N32)</f>
        <v>0</v>
      </c>
      <c r="N32" s="33" cm="1">
        <f t="array" ref="N32">fc(魚類月份!O32)</f>
        <v>0</v>
      </c>
      <c r="O32" s="33" cm="1">
        <f t="array" ref="O32">fc(魚類月份!P32)</f>
        <v>0</v>
      </c>
      <c r="P32" s="33" cm="1">
        <f t="array" ref="P32">fc(魚類月份!Q32)</f>
        <v>0</v>
      </c>
      <c r="Q32" s="33" cm="1">
        <f t="array" ref="Q32">fc(魚類月份!R32)</f>
        <v>0</v>
      </c>
      <c r="R32" s="33" cm="1">
        <f t="array" ref="R32">fc(魚類月份!S32)</f>
        <v>0</v>
      </c>
      <c r="S32" s="63" t="s">
        <v>197</v>
      </c>
    </row>
    <row r="33" spans="1:19" x14ac:dyDescent="0.2">
      <c r="A33" s="73"/>
      <c r="B33" s="63"/>
      <c r="C33" s="74"/>
      <c r="D33" s="75"/>
      <c r="E33" s="76"/>
      <c r="F33" s="35" t="s">
        <v>198</v>
      </c>
      <c r="G33" s="33" cm="1">
        <f t="array" ref="G33">fc(魚類月份!H33)</f>
        <v>0</v>
      </c>
      <c r="H33" s="33" cm="1">
        <f t="array" ref="H33">fc(魚類月份!I33)</f>
        <v>0</v>
      </c>
      <c r="I33" s="33" cm="1">
        <f t="array" ref="I33">fc(魚類月份!J33)</f>
        <v>0</v>
      </c>
      <c r="J33" s="33" cm="1">
        <f t="array" ref="J33">fc(魚類月份!K33)</f>
        <v>0</v>
      </c>
      <c r="K33" s="33" cm="1">
        <f t="array" ref="K33">fc(魚類月份!L33)</f>
        <v>0</v>
      </c>
      <c r="L33" s="33" cm="1">
        <f t="array" ref="L33">fc(魚類月份!M33)</f>
        <v>0</v>
      </c>
      <c r="M33" s="33" cm="1">
        <f t="array" ref="M33">fc(魚類月份!N33)</f>
        <v>0</v>
      </c>
      <c r="N33" s="33" cm="1">
        <f t="array" ref="N33">fc(魚類月份!O33)</f>
        <v>0</v>
      </c>
      <c r="O33" s="33" cm="1">
        <f t="array" ref="O33">fc(魚類月份!P33)</f>
        <v>1</v>
      </c>
      <c r="P33" s="33" cm="1">
        <f t="array" ref="P33">fc(魚類月份!Q33)</f>
        <v>1</v>
      </c>
      <c r="Q33" s="33" cm="1">
        <f t="array" ref="Q33">fc(魚類月份!R33)</f>
        <v>1</v>
      </c>
      <c r="R33" s="33" cm="1">
        <f t="array" ref="R33">fc(魚類月份!S33)</f>
        <v>0</v>
      </c>
      <c r="S33" s="63"/>
    </row>
    <row r="34" spans="1:19" ht="15" customHeight="1" x14ac:dyDescent="0.2">
      <c r="A34" s="72" t="str">
        <f>SUBSTITUTE(SUBSTITUTE(魚類月份!B34,CHAR(13),","),CHAR(10),",")</f>
        <v>鯰魚,Catfish</v>
      </c>
      <c r="B34" s="68">
        <v>640</v>
      </c>
      <c r="C34" s="69">
        <f>B34/0.8</f>
        <v>800</v>
      </c>
      <c r="D34" s="70" t="s">
        <v>203</v>
      </c>
      <c r="E34" s="71" t="s">
        <v>204</v>
      </c>
      <c r="F34" s="37" t="s">
        <v>184</v>
      </c>
      <c r="G34" s="33" cm="1">
        <f t="array" ref="G34">fc(魚類月份!H34)</f>
        <v>0</v>
      </c>
      <c r="H34" s="33" cm="1">
        <f t="array" ref="H34">fc(魚類月份!I34)</f>
        <v>0</v>
      </c>
      <c r="I34" s="33" cm="1">
        <f t="array" ref="I34">fc(魚類月份!J34)</f>
        <v>0</v>
      </c>
      <c r="J34" s="33" cm="1">
        <f t="array" ref="J34">fc(魚類月份!K34)</f>
        <v>0</v>
      </c>
      <c r="K34" s="33" cm="1">
        <f t="array" ref="K34">fc(魚類月份!L34)</f>
        <v>1</v>
      </c>
      <c r="L34" s="33" cm="1">
        <f t="array" ref="L34">fc(魚類月份!M34)</f>
        <v>1</v>
      </c>
      <c r="M34" s="33" cm="1">
        <f t="array" ref="M34">fc(魚類月份!N34)</f>
        <v>1</v>
      </c>
      <c r="N34" s="33" cm="1">
        <f t="array" ref="N34">fc(魚類月份!O34)</f>
        <v>1</v>
      </c>
      <c r="O34" s="33" cm="1">
        <f t="array" ref="O34">fc(魚類月份!P34)</f>
        <v>1</v>
      </c>
      <c r="P34" s="33" cm="1">
        <f t="array" ref="P34">fc(魚類月份!Q34)</f>
        <v>1</v>
      </c>
      <c r="Q34" s="33" cm="1">
        <f t="array" ref="Q34">fc(魚類月份!R34)</f>
        <v>0</v>
      </c>
      <c r="R34" s="33" cm="1">
        <f t="array" ref="R34">fc(魚類月份!S34)</f>
        <v>0</v>
      </c>
      <c r="S34" s="68" t="s">
        <v>202</v>
      </c>
    </row>
    <row r="35" spans="1:19" x14ac:dyDescent="0.2">
      <c r="A35" s="73"/>
      <c r="B35" s="68"/>
      <c r="C35" s="69"/>
      <c r="D35" s="70"/>
      <c r="E35" s="71"/>
      <c r="F35" s="39" t="s">
        <v>198</v>
      </c>
      <c r="G35" s="33" cm="1">
        <f t="array" ref="G35">fc(魚類月份!H35)</f>
        <v>1</v>
      </c>
      <c r="H35" s="33" cm="1">
        <f t="array" ref="H35">fc(魚類月份!I35)</f>
        <v>1</v>
      </c>
      <c r="I35" s="33" cm="1">
        <f t="array" ref="I35">fc(魚類月份!J35)</f>
        <v>1</v>
      </c>
      <c r="J35" s="33" cm="1">
        <f t="array" ref="J35">fc(魚類月份!K35)</f>
        <v>1</v>
      </c>
      <c r="K35" s="33" cm="1">
        <f t="array" ref="K35">fc(魚類月份!L35)</f>
        <v>0</v>
      </c>
      <c r="L35" s="33" cm="1">
        <f t="array" ref="L35">fc(魚類月份!M35)</f>
        <v>0</v>
      </c>
      <c r="M35" s="33" cm="1">
        <f t="array" ref="M35">fc(魚類月份!N35)</f>
        <v>0</v>
      </c>
      <c r="N35" s="33" cm="1">
        <f t="array" ref="N35">fc(魚類月份!O35)</f>
        <v>0</v>
      </c>
      <c r="O35" s="33" cm="1">
        <f t="array" ref="O35">fc(魚類月份!P35)</f>
        <v>0</v>
      </c>
      <c r="P35" s="33" cm="1">
        <f t="array" ref="P35">fc(魚類月份!Q35)</f>
        <v>0</v>
      </c>
      <c r="Q35" s="33" cm="1">
        <f t="array" ref="Q35">fc(魚類月份!R35)</f>
        <v>1</v>
      </c>
      <c r="R35" s="33" cm="1">
        <f t="array" ref="R35">fc(魚類月份!S35)</f>
        <v>1</v>
      </c>
      <c r="S35" s="68"/>
    </row>
    <row r="36" spans="1:19" ht="15" customHeight="1" x14ac:dyDescent="0.2">
      <c r="A36" s="72" t="str">
        <f>SUBSTITUTE(SUBSTITUTE(魚類月份!B36,CHAR(13),","),CHAR(10),",")</f>
        <v>藍鰓太陽魚,Bluegill</v>
      </c>
      <c r="B36" s="68">
        <v>144</v>
      </c>
      <c r="C36" s="69">
        <f>B36/0.8</f>
        <v>180</v>
      </c>
      <c r="D36" s="70" t="s">
        <v>182</v>
      </c>
      <c r="E36" s="71" t="s">
        <v>200</v>
      </c>
      <c r="F36" s="37" t="s">
        <v>184</v>
      </c>
      <c r="G36" s="33" cm="1">
        <f t="array" ref="G36">fc(魚類月份!H36)</f>
        <v>1</v>
      </c>
      <c r="H36" s="33" cm="1">
        <f t="array" ref="H36">fc(魚類月份!I36)</f>
        <v>1</v>
      </c>
      <c r="I36" s="33" cm="1">
        <f t="array" ref="I36">fc(魚類月份!J36)</f>
        <v>1</v>
      </c>
      <c r="J36" s="33" cm="1">
        <f t="array" ref="J36">fc(魚類月份!K36)</f>
        <v>1</v>
      </c>
      <c r="K36" s="33" cm="1">
        <f t="array" ref="K36">fc(魚類月份!L36)</f>
        <v>1</v>
      </c>
      <c r="L36" s="33" cm="1">
        <f t="array" ref="L36">fc(魚類月份!M36)</f>
        <v>1</v>
      </c>
      <c r="M36" s="33" cm="1">
        <f t="array" ref="M36">fc(魚類月份!N36)</f>
        <v>1</v>
      </c>
      <c r="N36" s="33" cm="1">
        <f t="array" ref="N36">fc(魚類月份!O36)</f>
        <v>1</v>
      </c>
      <c r="O36" s="33" cm="1">
        <f t="array" ref="O36">fc(魚類月份!P36)</f>
        <v>1</v>
      </c>
      <c r="P36" s="33" cm="1">
        <f t="array" ref="P36">fc(魚類月份!Q36)</f>
        <v>1</v>
      </c>
      <c r="Q36" s="33" cm="1">
        <f t="array" ref="Q36">fc(魚類月份!R36)</f>
        <v>1</v>
      </c>
      <c r="R36" s="33" cm="1">
        <f t="array" ref="R36">fc(魚類月份!S36)</f>
        <v>1</v>
      </c>
      <c r="S36" s="68" t="s">
        <v>199</v>
      </c>
    </row>
    <row r="37" spans="1:19" x14ac:dyDescent="0.2">
      <c r="A37" s="73"/>
      <c r="B37" s="68"/>
      <c r="C37" s="69"/>
      <c r="D37" s="70"/>
      <c r="E37" s="71"/>
      <c r="F37" s="39" t="s">
        <v>198</v>
      </c>
      <c r="G37" s="33" cm="1">
        <f t="array" ref="G37">fc(魚類月份!H37)</f>
        <v>1</v>
      </c>
      <c r="H37" s="33" cm="1">
        <f t="array" ref="H37">fc(魚類月份!I37)</f>
        <v>1</v>
      </c>
      <c r="I37" s="33" cm="1">
        <f t="array" ref="I37">fc(魚類月份!J37)</f>
        <v>1</v>
      </c>
      <c r="J37" s="33" cm="1">
        <f t="array" ref="J37">fc(魚類月份!K37)</f>
        <v>1</v>
      </c>
      <c r="K37" s="33" cm="1">
        <f t="array" ref="K37">fc(魚類月份!L37)</f>
        <v>1</v>
      </c>
      <c r="L37" s="33" cm="1">
        <f t="array" ref="L37">fc(魚類月份!M37)</f>
        <v>1</v>
      </c>
      <c r="M37" s="33" cm="1">
        <f t="array" ref="M37">fc(魚類月份!N37)</f>
        <v>1</v>
      </c>
      <c r="N37" s="33" cm="1">
        <f t="array" ref="N37">fc(魚類月份!O37)</f>
        <v>1</v>
      </c>
      <c r="O37" s="33" cm="1">
        <f t="array" ref="O37">fc(魚類月份!P37)</f>
        <v>1</v>
      </c>
      <c r="P37" s="33" cm="1">
        <f t="array" ref="P37">fc(魚類月份!Q37)</f>
        <v>1</v>
      </c>
      <c r="Q37" s="33" cm="1">
        <f t="array" ref="Q37">fc(魚類月份!R37)</f>
        <v>1</v>
      </c>
      <c r="R37" s="33" cm="1">
        <f t="array" ref="R37">fc(魚類月份!S37)</f>
        <v>1</v>
      </c>
      <c r="S37" s="68"/>
    </row>
    <row r="38" spans="1:19" ht="15" customHeight="1" x14ac:dyDescent="0.2">
      <c r="A38" s="72" t="str">
        <f>SUBSTITUTE(SUBSTITUTE(魚類月份!B38,CHAR(13),","),CHAR(10),",")</f>
        <v>黃鱸魚,Yellow perch</v>
      </c>
      <c r="B38" s="63">
        <v>240</v>
      </c>
      <c r="C38" s="74">
        <f>B38/0.8</f>
        <v>300</v>
      </c>
      <c r="D38" s="75" t="s">
        <v>182</v>
      </c>
      <c r="E38" s="76" t="s">
        <v>201</v>
      </c>
      <c r="F38" s="32" t="s">
        <v>184</v>
      </c>
      <c r="G38" s="33" cm="1">
        <f t="array" ref="G38">fc(魚類月份!H38)</f>
        <v>1</v>
      </c>
      <c r="H38" s="33" cm="1">
        <f t="array" ref="H38">fc(魚類月份!I38)</f>
        <v>1</v>
      </c>
      <c r="I38" s="33" cm="1">
        <f t="array" ref="I38">fc(魚類月份!J38)</f>
        <v>1</v>
      </c>
      <c r="J38" s="33" cm="1">
        <f t="array" ref="J38">fc(魚類月份!K38)</f>
        <v>0</v>
      </c>
      <c r="K38" s="33" cm="1">
        <f t="array" ref="K38">fc(魚類月份!L38)</f>
        <v>0</v>
      </c>
      <c r="L38" s="33" cm="1">
        <f t="array" ref="L38">fc(魚類月份!M38)</f>
        <v>0</v>
      </c>
      <c r="M38" s="33" cm="1">
        <f t="array" ref="M38">fc(魚類月份!N38)</f>
        <v>0</v>
      </c>
      <c r="N38" s="33" cm="1">
        <f t="array" ref="N38">fc(魚類月份!O38)</f>
        <v>0</v>
      </c>
      <c r="O38" s="33" cm="1">
        <f t="array" ref="O38">fc(魚類月份!P38)</f>
        <v>0</v>
      </c>
      <c r="P38" s="33" cm="1">
        <f t="array" ref="P38">fc(魚類月份!Q38)</f>
        <v>1</v>
      </c>
      <c r="Q38" s="33" cm="1">
        <f t="array" ref="Q38">fc(魚類月份!R38)</f>
        <v>1</v>
      </c>
      <c r="R38" s="33" cm="1">
        <f t="array" ref="R38">fc(魚類月份!S38)</f>
        <v>1</v>
      </c>
      <c r="S38" s="63" t="s">
        <v>197</v>
      </c>
    </row>
    <row r="39" spans="1:19" x14ac:dyDescent="0.2">
      <c r="A39" s="73"/>
      <c r="B39" s="63"/>
      <c r="C39" s="74"/>
      <c r="D39" s="75"/>
      <c r="E39" s="76"/>
      <c r="F39" s="35" t="s">
        <v>198</v>
      </c>
      <c r="G39" s="33" cm="1">
        <f t="array" ref="G39">fc(魚類月份!H39)</f>
        <v>0</v>
      </c>
      <c r="H39" s="33" cm="1">
        <f t="array" ref="H39">fc(魚類月份!I39)</f>
        <v>0</v>
      </c>
      <c r="I39" s="33" cm="1">
        <f t="array" ref="I39">fc(魚類月份!J39)</f>
        <v>0</v>
      </c>
      <c r="J39" s="33" cm="1">
        <f t="array" ref="J39">fc(魚類月份!K39)</f>
        <v>1</v>
      </c>
      <c r="K39" s="33" cm="1">
        <f t="array" ref="K39">fc(魚類月份!L39)</f>
        <v>1</v>
      </c>
      <c r="L39" s="33" cm="1">
        <f t="array" ref="L39">fc(魚類月份!M39)</f>
        <v>1</v>
      </c>
      <c r="M39" s="33" cm="1">
        <f t="array" ref="M39">fc(魚類月份!N39)</f>
        <v>1</v>
      </c>
      <c r="N39" s="33" cm="1">
        <f t="array" ref="N39">fc(魚類月份!O39)</f>
        <v>1</v>
      </c>
      <c r="O39" s="33" cm="1">
        <f t="array" ref="O39">fc(魚類月份!P39)</f>
        <v>1</v>
      </c>
      <c r="P39" s="33" cm="1">
        <f t="array" ref="P39">fc(魚類月份!Q39)</f>
        <v>0</v>
      </c>
      <c r="Q39" s="33" cm="1">
        <f t="array" ref="Q39">fc(魚類月份!R39)</f>
        <v>0</v>
      </c>
      <c r="R39" s="33" cm="1">
        <f t="array" ref="R39">fc(魚類月份!S39)</f>
        <v>0</v>
      </c>
      <c r="S39" s="63"/>
    </row>
    <row r="40" spans="1:19" ht="15" customHeight="1" x14ac:dyDescent="0.2">
      <c r="A40" s="72" t="str">
        <f>SUBSTITUTE(SUBSTITUTE(魚類月份!B40,CHAR(13),","),CHAR(10),",")</f>
        <v>黑鱸魚,Black bass</v>
      </c>
      <c r="B40" s="68">
        <v>320</v>
      </c>
      <c r="C40" s="69">
        <f>B40/0.8</f>
        <v>400</v>
      </c>
      <c r="D40" s="70" t="s">
        <v>182</v>
      </c>
      <c r="E40" s="71" t="s">
        <v>204</v>
      </c>
      <c r="F40" s="37" t="s">
        <v>184</v>
      </c>
      <c r="G40" s="33" cm="1">
        <f t="array" ref="G40">fc(魚類月份!H40)</f>
        <v>1</v>
      </c>
      <c r="H40" s="33" cm="1">
        <f t="array" ref="H40">fc(魚類月份!I40)</f>
        <v>1</v>
      </c>
      <c r="I40" s="33" cm="1">
        <f t="array" ref="I40">fc(魚類月份!J40)</f>
        <v>1</v>
      </c>
      <c r="J40" s="33" cm="1">
        <f t="array" ref="J40">fc(魚類月份!K40)</f>
        <v>1</v>
      </c>
      <c r="K40" s="33" cm="1">
        <f t="array" ref="K40">fc(魚類月份!L40)</f>
        <v>1</v>
      </c>
      <c r="L40" s="33" cm="1">
        <f t="array" ref="L40">fc(魚類月份!M40)</f>
        <v>1</v>
      </c>
      <c r="M40" s="33" cm="1">
        <f t="array" ref="M40">fc(魚類月份!N40)</f>
        <v>1</v>
      </c>
      <c r="N40" s="33" cm="1">
        <f t="array" ref="N40">fc(魚類月份!O40)</f>
        <v>1</v>
      </c>
      <c r="O40" s="33" cm="1">
        <f t="array" ref="O40">fc(魚類月份!P40)</f>
        <v>1</v>
      </c>
      <c r="P40" s="33" cm="1">
        <f t="array" ref="P40">fc(魚類月份!Q40)</f>
        <v>1</v>
      </c>
      <c r="Q40" s="33" cm="1">
        <f t="array" ref="Q40">fc(魚類月份!R40)</f>
        <v>1</v>
      </c>
      <c r="R40" s="33" cm="1">
        <f t="array" ref="R40">fc(魚類月份!S40)</f>
        <v>1</v>
      </c>
      <c r="S40" s="68" t="s">
        <v>197</v>
      </c>
    </row>
    <row r="41" spans="1:19" x14ac:dyDescent="0.2">
      <c r="A41" s="73"/>
      <c r="B41" s="68"/>
      <c r="C41" s="69"/>
      <c r="D41" s="70"/>
      <c r="E41" s="71"/>
      <c r="F41" s="39" t="s">
        <v>198</v>
      </c>
      <c r="G41" s="33" cm="1">
        <f t="array" ref="G41">fc(魚類月份!H41)</f>
        <v>1</v>
      </c>
      <c r="H41" s="33" cm="1">
        <f t="array" ref="H41">fc(魚類月份!I41)</f>
        <v>1</v>
      </c>
      <c r="I41" s="33" cm="1">
        <f t="array" ref="I41">fc(魚類月份!J41)</f>
        <v>1</v>
      </c>
      <c r="J41" s="33" cm="1">
        <f t="array" ref="J41">fc(魚類月份!K41)</f>
        <v>1</v>
      </c>
      <c r="K41" s="33" cm="1">
        <f t="array" ref="K41">fc(魚類月份!L41)</f>
        <v>1</v>
      </c>
      <c r="L41" s="33" cm="1">
        <f t="array" ref="L41">fc(魚類月份!M41)</f>
        <v>1</v>
      </c>
      <c r="M41" s="33" cm="1">
        <f t="array" ref="M41">fc(魚類月份!N41)</f>
        <v>1</v>
      </c>
      <c r="N41" s="33" cm="1">
        <f t="array" ref="N41">fc(魚類月份!O41)</f>
        <v>1</v>
      </c>
      <c r="O41" s="33" cm="1">
        <f t="array" ref="O41">fc(魚類月份!P41)</f>
        <v>1</v>
      </c>
      <c r="P41" s="33" cm="1">
        <f t="array" ref="P41">fc(魚類月份!Q41)</f>
        <v>1</v>
      </c>
      <c r="Q41" s="33" cm="1">
        <f t="array" ref="Q41">fc(魚類月份!R41)</f>
        <v>1</v>
      </c>
      <c r="R41" s="33" cm="1">
        <f t="array" ref="R41">fc(魚類月份!S41)</f>
        <v>1</v>
      </c>
      <c r="S41" s="68"/>
    </row>
    <row r="42" spans="1:19" ht="15" customHeight="1" x14ac:dyDescent="0.2">
      <c r="A42" s="72" t="str">
        <f>SUBSTITUTE(SUBSTITUTE(魚類月份!B42,CHAR(13),","),CHAR(10),",")</f>
        <v>吳郭魚,Tilapia</v>
      </c>
      <c r="B42" s="63">
        <v>640</v>
      </c>
      <c r="C42" s="74">
        <f>B42/0.8</f>
        <v>800</v>
      </c>
      <c r="D42" s="75" t="s">
        <v>182</v>
      </c>
      <c r="E42" s="76" t="s">
        <v>201</v>
      </c>
      <c r="F42" s="32" t="s">
        <v>184</v>
      </c>
      <c r="G42" s="33" cm="1">
        <f t="array" ref="G42">fc(魚類月份!H42)</f>
        <v>0</v>
      </c>
      <c r="H42" s="33" cm="1">
        <f t="array" ref="H42">fc(魚類月份!I42)</f>
        <v>0</v>
      </c>
      <c r="I42" s="33" cm="1">
        <f t="array" ref="I42">fc(魚類月份!J42)</f>
        <v>0</v>
      </c>
      <c r="J42" s="33" cm="1">
        <f t="array" ref="J42">fc(魚類月份!K42)</f>
        <v>0</v>
      </c>
      <c r="K42" s="33" cm="1">
        <f t="array" ref="K42">fc(魚類月份!L42)</f>
        <v>0</v>
      </c>
      <c r="L42" s="33" cm="1">
        <f t="array" ref="L42">fc(魚類月份!M42)</f>
        <v>1</v>
      </c>
      <c r="M42" s="33" cm="1">
        <f t="array" ref="M42">fc(魚類月份!N42)</f>
        <v>1</v>
      </c>
      <c r="N42" s="33" cm="1">
        <f t="array" ref="N42">fc(魚類月份!O42)</f>
        <v>1</v>
      </c>
      <c r="O42" s="33" cm="1">
        <f t="array" ref="O42">fc(魚類月份!P42)</f>
        <v>1</v>
      </c>
      <c r="P42" s="33" cm="1">
        <f t="array" ref="P42">fc(魚類月份!Q42)</f>
        <v>1</v>
      </c>
      <c r="Q42" s="33" cm="1">
        <f t="array" ref="Q42">fc(魚類月份!R42)</f>
        <v>0</v>
      </c>
      <c r="R42" s="33" cm="1">
        <f t="array" ref="R42">fc(魚類月份!S42)</f>
        <v>0</v>
      </c>
      <c r="S42" s="63" t="s">
        <v>197</v>
      </c>
    </row>
    <row r="43" spans="1:19" x14ac:dyDescent="0.2">
      <c r="A43" s="73"/>
      <c r="B43" s="63"/>
      <c r="C43" s="74"/>
      <c r="D43" s="75"/>
      <c r="E43" s="76"/>
      <c r="F43" s="35" t="s">
        <v>198</v>
      </c>
      <c r="G43" s="33" cm="1">
        <f t="array" ref="G43">fc(魚類月份!H43)</f>
        <v>1</v>
      </c>
      <c r="H43" s="33" cm="1">
        <f t="array" ref="H43">fc(魚類月份!I43)</f>
        <v>1</v>
      </c>
      <c r="I43" s="33" cm="1">
        <f t="array" ref="I43">fc(魚類月份!J43)</f>
        <v>1</v>
      </c>
      <c r="J43" s="33" cm="1">
        <f t="array" ref="J43">fc(魚類月份!K43)</f>
        <v>1</v>
      </c>
      <c r="K43" s="33" cm="1">
        <f t="array" ref="K43">fc(魚類月份!L43)</f>
        <v>0</v>
      </c>
      <c r="L43" s="33" cm="1">
        <f t="array" ref="L43">fc(魚類月份!M43)</f>
        <v>0</v>
      </c>
      <c r="M43" s="33" cm="1">
        <f t="array" ref="M43">fc(魚類月份!N43)</f>
        <v>0</v>
      </c>
      <c r="N43" s="33" cm="1">
        <f t="array" ref="N43">fc(魚類月份!O43)</f>
        <v>0</v>
      </c>
      <c r="O43" s="33" cm="1">
        <f t="array" ref="O43">fc(魚類月份!P43)</f>
        <v>0</v>
      </c>
      <c r="P43" s="33" cm="1">
        <f t="array" ref="P43">fc(魚類月份!Q43)</f>
        <v>0</v>
      </c>
      <c r="Q43" s="33" cm="1">
        <f t="array" ref="Q43">fc(魚類月份!R43)</f>
        <v>0</v>
      </c>
      <c r="R43" s="33" cm="1">
        <f t="array" ref="R43">fc(魚類月份!S43)</f>
        <v>1</v>
      </c>
      <c r="S43" s="63"/>
    </row>
    <row r="44" spans="1:19" ht="15" customHeight="1" x14ac:dyDescent="0.2">
      <c r="A44" s="72" t="str">
        <f>SUBSTITUTE(SUBSTITUTE(魚類月份!B44,CHAR(13),","),CHAR(10),",")</f>
        <v>白斑狗魚,Pike</v>
      </c>
      <c r="B44" s="68">
        <v>1440</v>
      </c>
      <c r="C44" s="69">
        <f>B44/0.8</f>
        <v>1800</v>
      </c>
      <c r="D44" s="70" t="s">
        <v>182</v>
      </c>
      <c r="E44" s="71" t="s">
        <v>206</v>
      </c>
      <c r="F44" s="37" t="s">
        <v>184</v>
      </c>
      <c r="G44" s="33" cm="1">
        <f t="array" ref="G44">fc(魚類月份!H44)</f>
        <v>0</v>
      </c>
      <c r="H44" s="33" cm="1">
        <f t="array" ref="H44">fc(魚類月份!I44)</f>
        <v>0</v>
      </c>
      <c r="I44" s="33" cm="1">
        <f t="array" ref="I44">fc(魚類月份!J44)</f>
        <v>0</v>
      </c>
      <c r="J44" s="33" cm="1">
        <f t="array" ref="J44">fc(魚類月份!K44)</f>
        <v>0</v>
      </c>
      <c r="K44" s="33" cm="1">
        <f t="array" ref="K44">fc(魚類月份!L44)</f>
        <v>0</v>
      </c>
      <c r="L44" s="33" cm="1">
        <f t="array" ref="L44">fc(魚類月份!M44)</f>
        <v>0</v>
      </c>
      <c r="M44" s="33" cm="1">
        <f t="array" ref="M44">fc(魚類月份!N44)</f>
        <v>0</v>
      </c>
      <c r="N44" s="33" cm="1">
        <f t="array" ref="N44">fc(魚類月份!O44)</f>
        <v>0</v>
      </c>
      <c r="O44" s="33" cm="1">
        <f t="array" ref="O44">fc(魚類月份!P44)</f>
        <v>1</v>
      </c>
      <c r="P44" s="33" cm="1">
        <f t="array" ref="P44">fc(魚類月份!Q44)</f>
        <v>1</v>
      </c>
      <c r="Q44" s="33" cm="1">
        <f t="array" ref="Q44">fc(魚類月份!R44)</f>
        <v>1</v>
      </c>
      <c r="R44" s="33" cm="1">
        <f t="array" ref="R44">fc(魚類月份!S44)</f>
        <v>1</v>
      </c>
      <c r="S44" s="68" t="s">
        <v>197</v>
      </c>
    </row>
    <row r="45" spans="1:19" x14ac:dyDescent="0.2">
      <c r="A45" s="73"/>
      <c r="B45" s="68"/>
      <c r="C45" s="69"/>
      <c r="D45" s="70"/>
      <c r="E45" s="71"/>
      <c r="F45" s="39" t="s">
        <v>198</v>
      </c>
      <c r="G45" s="33" cm="1">
        <f t="array" ref="G45">fc(魚類月份!H45)</f>
        <v>0</v>
      </c>
      <c r="H45" s="33" cm="1">
        <f t="array" ref="H45">fc(魚類月份!I45)</f>
        <v>0</v>
      </c>
      <c r="I45" s="33" cm="1">
        <f t="array" ref="I45">fc(魚類月份!J45)</f>
        <v>1</v>
      </c>
      <c r="J45" s="33" cm="1">
        <f t="array" ref="J45">fc(魚類月份!K45)</f>
        <v>1</v>
      </c>
      <c r="K45" s="33" cm="1">
        <f t="array" ref="K45">fc(魚類月份!L45)</f>
        <v>1</v>
      </c>
      <c r="L45" s="33" cm="1">
        <f t="array" ref="L45">fc(魚類月份!M45)</f>
        <v>1</v>
      </c>
      <c r="M45" s="33" cm="1">
        <f t="array" ref="M45">fc(魚類月份!N45)</f>
        <v>0</v>
      </c>
      <c r="N45" s="33" cm="1">
        <f t="array" ref="N45">fc(魚類月份!O45)</f>
        <v>0</v>
      </c>
      <c r="O45" s="33" cm="1">
        <f t="array" ref="O45">fc(魚類月份!P45)</f>
        <v>0</v>
      </c>
      <c r="P45" s="33" cm="1">
        <f t="array" ref="P45">fc(魚類月份!Q45)</f>
        <v>0</v>
      </c>
      <c r="Q45" s="33" cm="1">
        <f t="array" ref="Q45">fc(魚類月份!R45)</f>
        <v>0</v>
      </c>
      <c r="R45" s="33" cm="1">
        <f t="array" ref="R45">fc(魚類月份!S45)</f>
        <v>0</v>
      </c>
      <c r="S45" s="68"/>
    </row>
    <row r="46" spans="1:19" ht="15" customHeight="1" x14ac:dyDescent="0.2">
      <c r="A46" s="72" t="str">
        <f>SUBSTITUTE(SUBSTITUTE(魚類月份!B46,CHAR(13),","),CHAR(10),",")</f>
        <v>香魚,Sweetfish</v>
      </c>
      <c r="B46" s="68">
        <v>720</v>
      </c>
      <c r="C46" s="69">
        <f>B46/0.8</f>
        <v>900</v>
      </c>
      <c r="D46" s="70" t="s">
        <v>182</v>
      </c>
      <c r="E46" s="71" t="s">
        <v>201</v>
      </c>
      <c r="F46" s="37" t="s">
        <v>184</v>
      </c>
      <c r="G46" s="33" cm="1">
        <f t="array" ref="G46">fc(魚類月份!H46)</f>
        <v>0</v>
      </c>
      <c r="H46" s="33" cm="1">
        <f t="array" ref="H46">fc(魚類月份!I46)</f>
        <v>0</v>
      </c>
      <c r="I46" s="33" cm="1">
        <f t="array" ref="I46">fc(魚類月份!J46)</f>
        <v>0</v>
      </c>
      <c r="J46" s="33" cm="1">
        <f t="array" ref="J46">fc(魚類月份!K46)</f>
        <v>0</v>
      </c>
      <c r="K46" s="33" cm="1">
        <f t="array" ref="K46">fc(魚類月份!L46)</f>
        <v>0</v>
      </c>
      <c r="L46" s="33" cm="1">
        <f t="array" ref="L46">fc(魚類月份!M46)</f>
        <v>0</v>
      </c>
      <c r="M46" s="33" cm="1">
        <f t="array" ref="M46">fc(魚類月份!N46)</f>
        <v>1</v>
      </c>
      <c r="N46" s="33" cm="1">
        <f t="array" ref="N46">fc(魚類月份!O46)</f>
        <v>1</v>
      </c>
      <c r="O46" s="33" cm="1">
        <f t="array" ref="O46">fc(魚類月份!P46)</f>
        <v>1</v>
      </c>
      <c r="P46" s="33" cm="1">
        <f t="array" ref="P46">fc(魚類月份!Q46)</f>
        <v>0</v>
      </c>
      <c r="Q46" s="33" cm="1">
        <f t="array" ref="Q46">fc(魚類月份!R46)</f>
        <v>0</v>
      </c>
      <c r="R46" s="33" cm="1">
        <f t="array" ref="R46">fc(魚類月份!S46)</f>
        <v>0</v>
      </c>
      <c r="S46" s="68" t="s">
        <v>197</v>
      </c>
    </row>
    <row r="47" spans="1:19" x14ac:dyDescent="0.2">
      <c r="A47" s="73"/>
      <c r="B47" s="68"/>
      <c r="C47" s="69"/>
      <c r="D47" s="70"/>
      <c r="E47" s="71"/>
      <c r="F47" s="39" t="s">
        <v>198</v>
      </c>
      <c r="G47" s="33" cm="1">
        <f t="array" ref="G47">fc(魚類月份!H47)</f>
        <v>1</v>
      </c>
      <c r="H47" s="33" cm="1">
        <f t="array" ref="H47">fc(魚類月份!I47)</f>
        <v>1</v>
      </c>
      <c r="I47" s="33" cm="1">
        <f t="array" ref="I47">fc(魚類月份!J47)</f>
        <v>1</v>
      </c>
      <c r="J47" s="33" cm="1">
        <f t="array" ref="J47">fc(魚類月份!K47)</f>
        <v>0</v>
      </c>
      <c r="K47" s="33" cm="1">
        <f t="array" ref="K47">fc(魚類月份!L47)</f>
        <v>0</v>
      </c>
      <c r="L47" s="33" cm="1">
        <f t="array" ref="L47">fc(魚類月份!M47)</f>
        <v>0</v>
      </c>
      <c r="M47" s="33" cm="1">
        <f t="array" ref="M47">fc(魚類月份!N47)</f>
        <v>0</v>
      </c>
      <c r="N47" s="33" cm="1">
        <f t="array" ref="N47">fc(魚類月份!O47)</f>
        <v>0</v>
      </c>
      <c r="O47" s="33" cm="1">
        <f t="array" ref="O47">fc(魚類月份!P47)</f>
        <v>0</v>
      </c>
      <c r="P47" s="33" cm="1">
        <f t="array" ref="P47">fc(魚類月份!Q47)</f>
        <v>0</v>
      </c>
      <c r="Q47" s="33" cm="1">
        <f t="array" ref="Q47">fc(魚類月份!R47)</f>
        <v>0</v>
      </c>
      <c r="R47" s="33" cm="1">
        <f t="array" ref="R47">fc(魚類月份!S47)</f>
        <v>0</v>
      </c>
      <c r="S47" s="68"/>
    </row>
    <row r="48" spans="1:19" ht="15" customHeight="1" x14ac:dyDescent="0.2">
      <c r="A48" s="72" t="str">
        <f>SUBSTITUTE(SUBSTITUTE(魚類月份!B48,CHAR(13),","),CHAR(10),",")</f>
        <v>櫻花鉤吻鮭,Cherry salmon</v>
      </c>
      <c r="B48" s="63">
        <v>800</v>
      </c>
      <c r="C48" s="74">
        <f>B48/0.8</f>
        <v>1000</v>
      </c>
      <c r="D48" s="75" t="s">
        <v>207</v>
      </c>
      <c r="E48" s="76" t="s">
        <v>201</v>
      </c>
      <c r="F48" s="32" t="s">
        <v>184</v>
      </c>
      <c r="G48" s="33" cm="1">
        <f t="array" ref="G48">fc(魚類月份!H48)</f>
        <v>0</v>
      </c>
      <c r="H48" s="33" cm="1">
        <f t="array" ref="H48">fc(魚類月份!I48)</f>
        <v>0</v>
      </c>
      <c r="I48" s="33" cm="1">
        <f t="array" ref="I48">fc(魚類月份!J48)</f>
        <v>1</v>
      </c>
      <c r="J48" s="33" cm="1">
        <f t="array" ref="J48">fc(魚類月份!K48)</f>
        <v>1</v>
      </c>
      <c r="K48" s="33" cm="1">
        <f t="array" ref="K48">fc(魚類月份!L48)</f>
        <v>1</v>
      </c>
      <c r="L48" s="33" cm="1">
        <f t="array" ref="L48">fc(魚類月份!M48)</f>
        <v>1</v>
      </c>
      <c r="M48" s="33" cm="1">
        <f t="array" ref="M48">fc(魚類月份!N48)</f>
        <v>0</v>
      </c>
      <c r="N48" s="33" cm="1">
        <f t="array" ref="N48">fc(魚類月份!O48)</f>
        <v>0</v>
      </c>
      <c r="O48" s="33" cm="1">
        <f t="array" ref="O48">fc(魚類月份!P48)</f>
        <v>1</v>
      </c>
      <c r="P48" s="33" cm="1">
        <f t="array" ref="P48">fc(魚類月份!Q48)</f>
        <v>1</v>
      </c>
      <c r="Q48" s="33" cm="1">
        <f t="array" ref="Q48">fc(魚類月份!R48)</f>
        <v>1</v>
      </c>
      <c r="R48" s="33" cm="1">
        <f t="array" ref="R48">fc(魚類月份!S48)</f>
        <v>0</v>
      </c>
      <c r="S48" s="63" t="s">
        <v>197</v>
      </c>
    </row>
    <row r="49" spans="1:19" x14ac:dyDescent="0.2">
      <c r="A49" s="73"/>
      <c r="B49" s="63"/>
      <c r="C49" s="74"/>
      <c r="D49" s="75"/>
      <c r="E49" s="76"/>
      <c r="F49" s="35" t="s">
        <v>198</v>
      </c>
      <c r="G49" s="33" cm="1">
        <f t="array" ref="G49">fc(魚類月份!H49)</f>
        <v>0</v>
      </c>
      <c r="H49" s="33" cm="1">
        <f t="array" ref="H49">fc(魚類月份!I49)</f>
        <v>0</v>
      </c>
      <c r="I49" s="33" cm="1">
        <f t="array" ref="I49">fc(魚類月份!J49)</f>
        <v>1</v>
      </c>
      <c r="J49" s="33" cm="1">
        <f t="array" ref="J49">fc(魚類月份!K49)</f>
        <v>1</v>
      </c>
      <c r="K49" s="33" cm="1">
        <f t="array" ref="K49">fc(魚類月份!L49)</f>
        <v>1</v>
      </c>
      <c r="L49" s="33" cm="1">
        <f t="array" ref="L49">fc(魚類月份!M49)</f>
        <v>0</v>
      </c>
      <c r="M49" s="33" cm="1">
        <f t="array" ref="M49">fc(魚類月份!N49)</f>
        <v>0</v>
      </c>
      <c r="N49" s="33" cm="1">
        <f t="array" ref="N49">fc(魚類月份!O49)</f>
        <v>0</v>
      </c>
      <c r="O49" s="33" cm="1">
        <f t="array" ref="O49">fc(魚類月份!P49)</f>
        <v>1</v>
      </c>
      <c r="P49" s="33" cm="1">
        <f t="array" ref="P49">fc(魚類月份!Q49)</f>
        <v>1</v>
      </c>
      <c r="Q49" s="33" cm="1">
        <f t="array" ref="Q49">fc(魚類月份!R49)</f>
        <v>1</v>
      </c>
      <c r="R49" s="33" cm="1">
        <f t="array" ref="R49">fc(魚類月份!S49)</f>
        <v>1</v>
      </c>
      <c r="S49" s="63"/>
    </row>
    <row r="50" spans="1:19" ht="15" customHeight="1" x14ac:dyDescent="0.2">
      <c r="A50" s="72" t="str">
        <f>SUBSTITUTE(SUBSTITUTE(魚類月份!B50,CHAR(13),","),CHAR(10),",")</f>
        <v>花羔紅點鮭,Char</v>
      </c>
      <c r="B50" s="68">
        <v>3040</v>
      </c>
      <c r="C50" s="69">
        <f>B50/0.8</f>
        <v>3800</v>
      </c>
      <c r="D50" s="70" t="s">
        <v>207</v>
      </c>
      <c r="E50" s="71" t="s">
        <v>201</v>
      </c>
      <c r="F50" s="37" t="s">
        <v>184</v>
      </c>
      <c r="G50" s="33" cm="1">
        <f t="array" ref="G50">fc(魚類月份!H50)</f>
        <v>0</v>
      </c>
      <c r="H50" s="33" cm="1">
        <f t="array" ref="H50">fc(魚類月份!I50)</f>
        <v>0</v>
      </c>
      <c r="I50" s="33" cm="1">
        <f t="array" ref="I50">fc(魚類月份!J50)</f>
        <v>1</v>
      </c>
      <c r="J50" s="33" cm="1">
        <f t="array" ref="J50">fc(魚類月份!K50)</f>
        <v>1</v>
      </c>
      <c r="K50" s="33" cm="1">
        <f t="array" ref="K50">fc(魚類月份!L50)</f>
        <v>1</v>
      </c>
      <c r="L50" s="33" cm="1">
        <f t="array" ref="L50">fc(魚類月份!M50)</f>
        <v>1</v>
      </c>
      <c r="M50" s="33" cm="1">
        <f t="array" ref="M50">fc(魚類月份!N50)</f>
        <v>0</v>
      </c>
      <c r="N50" s="33" cm="1">
        <f t="array" ref="N50">fc(魚類月份!O50)</f>
        <v>0</v>
      </c>
      <c r="O50" s="33" cm="1">
        <f t="array" ref="O50">fc(魚類月份!P50)</f>
        <v>1</v>
      </c>
      <c r="P50" s="33" cm="1">
        <f t="array" ref="P50">fc(魚類月份!Q50)</f>
        <v>1</v>
      </c>
      <c r="Q50" s="33" cm="1">
        <f t="array" ref="Q50">fc(魚類月份!R50)</f>
        <v>1</v>
      </c>
      <c r="R50" s="33" cm="1">
        <f t="array" ref="R50">fc(魚類月份!S50)</f>
        <v>0</v>
      </c>
      <c r="S50" s="68" t="s">
        <v>197</v>
      </c>
    </row>
    <row r="51" spans="1:19" x14ac:dyDescent="0.2">
      <c r="A51" s="73"/>
      <c r="B51" s="68"/>
      <c r="C51" s="69"/>
      <c r="D51" s="70"/>
      <c r="E51" s="71"/>
      <c r="F51" s="39" t="s">
        <v>198</v>
      </c>
      <c r="G51" s="33" cm="1">
        <f t="array" ref="G51">fc(魚類月份!H51)</f>
        <v>0</v>
      </c>
      <c r="H51" s="33" cm="1">
        <f t="array" ref="H51">fc(魚類月份!I51)</f>
        <v>0</v>
      </c>
      <c r="I51" s="33" cm="1">
        <f t="array" ref="I51">fc(魚類月份!J51)</f>
        <v>1</v>
      </c>
      <c r="J51" s="33" cm="1">
        <f t="array" ref="J51">fc(魚類月份!K51)</f>
        <v>1</v>
      </c>
      <c r="K51" s="33" cm="1">
        <f t="array" ref="K51">fc(魚類月份!L51)</f>
        <v>1</v>
      </c>
      <c r="L51" s="33" cm="1">
        <f t="array" ref="L51">fc(魚類月份!M51)</f>
        <v>0</v>
      </c>
      <c r="M51" s="33" cm="1">
        <f t="array" ref="M51">fc(魚類月份!N51)</f>
        <v>0</v>
      </c>
      <c r="N51" s="33" cm="1">
        <f t="array" ref="N51">fc(魚類月份!O51)</f>
        <v>0</v>
      </c>
      <c r="O51" s="33" cm="1">
        <f t="array" ref="O51">fc(魚類月份!P51)</f>
        <v>1</v>
      </c>
      <c r="P51" s="33" cm="1">
        <f t="array" ref="P51">fc(魚類月份!Q51)</f>
        <v>1</v>
      </c>
      <c r="Q51" s="33" cm="1">
        <f t="array" ref="Q51">fc(魚類月份!R51)</f>
        <v>1</v>
      </c>
      <c r="R51" s="33" cm="1">
        <f t="array" ref="R51">fc(魚類月份!S51)</f>
        <v>1</v>
      </c>
      <c r="S51" s="68"/>
    </row>
    <row r="52" spans="1:19" ht="15" customHeight="1" x14ac:dyDescent="0.2">
      <c r="A52" s="72" t="str">
        <f>SUBSTITUTE(SUBSTITUTE(魚類月份!B52,CHAR(13),","),CHAR(10),",")</f>
        <v>金鱒,Golden trout</v>
      </c>
      <c r="B52" s="63">
        <v>12000</v>
      </c>
      <c r="C52" s="74">
        <f>B52/0.8</f>
        <v>15000</v>
      </c>
      <c r="D52" s="75" t="s">
        <v>207</v>
      </c>
      <c r="E52" s="76" t="s">
        <v>201</v>
      </c>
      <c r="F52" s="32" t="s">
        <v>184</v>
      </c>
      <c r="G52" s="33" cm="1">
        <f t="array" ref="G52">fc(魚類月份!H52)</f>
        <v>0</v>
      </c>
      <c r="H52" s="33" cm="1">
        <f t="array" ref="H52">fc(魚類月份!I52)</f>
        <v>0</v>
      </c>
      <c r="I52" s="33" cm="1">
        <f t="array" ref="I52">fc(魚類月份!J52)</f>
        <v>1</v>
      </c>
      <c r="J52" s="33" cm="1">
        <f t="array" ref="J52">fc(魚類月份!K52)</f>
        <v>1</v>
      </c>
      <c r="K52" s="33" cm="1">
        <f t="array" ref="K52">fc(魚類月份!L52)</f>
        <v>1</v>
      </c>
      <c r="L52" s="33" cm="1">
        <f t="array" ref="L52">fc(魚類月份!M52)</f>
        <v>0</v>
      </c>
      <c r="M52" s="33" cm="1">
        <f t="array" ref="M52">fc(魚類月份!N52)</f>
        <v>0</v>
      </c>
      <c r="N52" s="33" cm="1">
        <f t="array" ref="N52">fc(魚類月份!O52)</f>
        <v>0</v>
      </c>
      <c r="O52" s="33" cm="1">
        <f t="array" ref="O52">fc(魚類月份!P52)</f>
        <v>1</v>
      </c>
      <c r="P52" s="33" cm="1">
        <f t="array" ref="P52">fc(魚類月份!Q52)</f>
        <v>1</v>
      </c>
      <c r="Q52" s="33" cm="1">
        <f t="array" ref="Q52">fc(魚類月份!R52)</f>
        <v>1</v>
      </c>
      <c r="R52" s="33" cm="1">
        <f t="array" ref="R52">fc(魚類月份!S52)</f>
        <v>0</v>
      </c>
      <c r="S52" s="63" t="s">
        <v>202</v>
      </c>
    </row>
    <row r="53" spans="1:19" x14ac:dyDescent="0.2">
      <c r="A53" s="73"/>
      <c r="B53" s="63"/>
      <c r="C53" s="74"/>
      <c r="D53" s="75"/>
      <c r="E53" s="76"/>
      <c r="F53" s="35" t="s">
        <v>198</v>
      </c>
      <c r="G53" s="33" cm="1">
        <f t="array" ref="G53">fc(魚類月份!H53)</f>
        <v>0</v>
      </c>
      <c r="H53" s="33" cm="1">
        <f t="array" ref="H53">fc(魚類月份!I53)</f>
        <v>0</v>
      </c>
      <c r="I53" s="33" cm="1">
        <f t="array" ref="I53">fc(魚類月份!J53)</f>
        <v>1</v>
      </c>
      <c r="J53" s="33" cm="1">
        <f t="array" ref="J53">fc(魚類月份!K53)</f>
        <v>1</v>
      </c>
      <c r="K53" s="33" cm="1">
        <f t="array" ref="K53">fc(魚類月份!L53)</f>
        <v>1</v>
      </c>
      <c r="L53" s="33" cm="1">
        <f t="array" ref="L53">fc(魚類月份!M53)</f>
        <v>0</v>
      </c>
      <c r="M53" s="33" cm="1">
        <f t="array" ref="M53">fc(魚類月份!N53)</f>
        <v>0</v>
      </c>
      <c r="N53" s="33" cm="1">
        <f t="array" ref="N53">fc(魚類月份!O53)</f>
        <v>0</v>
      </c>
      <c r="O53" s="33" cm="1">
        <f t="array" ref="O53">fc(魚類月份!P53)</f>
        <v>1</v>
      </c>
      <c r="P53" s="33" cm="1">
        <f t="array" ref="P53">fc(魚類月份!Q53)</f>
        <v>1</v>
      </c>
      <c r="Q53" s="33" cm="1">
        <f t="array" ref="Q53">fc(魚類月份!R53)</f>
        <v>1</v>
      </c>
      <c r="R53" s="33" cm="1">
        <f t="array" ref="R53">fc(魚類月份!S53)</f>
        <v>0</v>
      </c>
      <c r="S53" s="63"/>
    </row>
    <row r="54" spans="1:19" ht="15" customHeight="1" x14ac:dyDescent="0.2">
      <c r="A54" s="72" t="str">
        <f>SUBSTITUTE(SUBSTITUTE(魚類月份!B54,CHAR(13),","),CHAR(10),",")</f>
        <v>遠東哲羅魚,Stringfish</v>
      </c>
      <c r="B54" s="68">
        <v>12000</v>
      </c>
      <c r="C54" s="69">
        <f>B54/0.8</f>
        <v>15000</v>
      </c>
      <c r="D54" s="70" t="s">
        <v>207</v>
      </c>
      <c r="E54" s="71" t="s">
        <v>206</v>
      </c>
      <c r="F54" s="37" t="s">
        <v>184</v>
      </c>
      <c r="G54" s="33" cm="1">
        <f t="array" ref="G54">fc(魚類月份!H54)</f>
        <v>1</v>
      </c>
      <c r="H54" s="33" cm="1">
        <f t="array" ref="H54">fc(魚類月份!I54)</f>
        <v>1</v>
      </c>
      <c r="I54" s="33" cm="1">
        <f t="array" ref="I54">fc(魚類月份!J54)</f>
        <v>1</v>
      </c>
      <c r="J54" s="33" cm="1">
        <f t="array" ref="J54">fc(魚類月份!K54)</f>
        <v>0</v>
      </c>
      <c r="K54" s="33" cm="1">
        <f t="array" ref="K54">fc(魚類月份!L54)</f>
        <v>0</v>
      </c>
      <c r="L54" s="33" cm="1">
        <f t="array" ref="L54">fc(魚類月份!M54)</f>
        <v>0</v>
      </c>
      <c r="M54" s="33" cm="1">
        <f t="array" ref="M54">fc(魚類月份!N54)</f>
        <v>0</v>
      </c>
      <c r="N54" s="33" cm="1">
        <f t="array" ref="N54">fc(魚類月份!O54)</f>
        <v>0</v>
      </c>
      <c r="O54" s="33" cm="1">
        <f t="array" ref="O54">fc(魚類月份!P54)</f>
        <v>0</v>
      </c>
      <c r="P54" s="33" cm="1">
        <f t="array" ref="P54">fc(魚類月份!Q54)</f>
        <v>0</v>
      </c>
      <c r="Q54" s="33" cm="1">
        <f t="array" ref="Q54">fc(魚類月份!R54)</f>
        <v>0</v>
      </c>
      <c r="R54" s="33" cm="1">
        <f t="array" ref="R54">fc(魚類月份!S54)</f>
        <v>1</v>
      </c>
      <c r="S54" s="68" t="s">
        <v>202</v>
      </c>
    </row>
    <row r="55" spans="1:19" x14ac:dyDescent="0.2">
      <c r="A55" s="73"/>
      <c r="B55" s="68"/>
      <c r="C55" s="69"/>
      <c r="D55" s="70"/>
      <c r="E55" s="71"/>
      <c r="F55" s="39" t="s">
        <v>198</v>
      </c>
      <c r="G55" s="33" cm="1">
        <f t="array" ref="G55">fc(魚類月份!H55)</f>
        <v>0</v>
      </c>
      <c r="H55" s="33" cm="1">
        <f t="array" ref="H55">fc(魚類月份!I55)</f>
        <v>0</v>
      </c>
      <c r="I55" s="33" cm="1">
        <f t="array" ref="I55">fc(魚類月份!J55)</f>
        <v>0</v>
      </c>
      <c r="J55" s="33" cm="1">
        <f t="array" ref="J55">fc(魚類月份!K55)</f>
        <v>0</v>
      </c>
      <c r="K55" s="33" cm="1">
        <f t="array" ref="K55">fc(魚類月份!L55)</f>
        <v>0</v>
      </c>
      <c r="L55" s="33" cm="1">
        <f t="array" ref="L55">fc(魚類月份!M55)</f>
        <v>1</v>
      </c>
      <c r="M55" s="33" cm="1">
        <f t="array" ref="M55">fc(魚類月份!N55)</f>
        <v>1</v>
      </c>
      <c r="N55" s="33" cm="1">
        <f t="array" ref="N55">fc(魚類月份!O55)</f>
        <v>1</v>
      </c>
      <c r="O55" s="33" cm="1">
        <f t="array" ref="O55">fc(魚類月份!P55)</f>
        <v>1</v>
      </c>
      <c r="P55" s="33" cm="1">
        <f t="array" ref="P55">fc(魚類月份!Q55)</f>
        <v>0</v>
      </c>
      <c r="Q55" s="33" cm="1">
        <f t="array" ref="Q55">fc(魚類月份!R55)</f>
        <v>0</v>
      </c>
      <c r="R55" s="33" cm="1">
        <f t="array" ref="R55">fc(魚類月份!S55)</f>
        <v>0</v>
      </c>
      <c r="S55" s="68"/>
    </row>
    <row r="56" spans="1:19" ht="15" customHeight="1" x14ac:dyDescent="0.2">
      <c r="A56" s="72" t="str">
        <f>SUBSTITUTE(SUBSTITUTE(魚類月份!B56,CHAR(13),","),CHAR(10),",")</f>
        <v>鮭魚,Salmon</v>
      </c>
      <c r="B56" s="63">
        <v>560</v>
      </c>
      <c r="C56" s="74">
        <f>B56/0.8</f>
        <v>700</v>
      </c>
      <c r="D56" s="75" t="s">
        <v>208</v>
      </c>
      <c r="E56" s="76" t="s">
        <v>204</v>
      </c>
      <c r="F56" s="32" t="s">
        <v>184</v>
      </c>
      <c r="G56" s="33" cm="1">
        <f t="array" ref="G56">fc(魚類月份!H56)</f>
        <v>0</v>
      </c>
      <c r="H56" s="33" cm="1">
        <f t="array" ref="H56">fc(魚類月份!I56)</f>
        <v>0</v>
      </c>
      <c r="I56" s="33" cm="1">
        <f t="array" ref="I56">fc(魚類月份!J56)</f>
        <v>0</v>
      </c>
      <c r="J56" s="33" cm="1">
        <f t="array" ref="J56">fc(魚類月份!K56)</f>
        <v>0</v>
      </c>
      <c r="K56" s="33" cm="1">
        <f t="array" ref="K56">fc(魚類月份!L56)</f>
        <v>0</v>
      </c>
      <c r="L56" s="33" cm="1">
        <f t="array" ref="L56">fc(魚類月份!M56)</f>
        <v>0</v>
      </c>
      <c r="M56" s="33" cm="1">
        <f t="array" ref="M56">fc(魚類月份!N56)</f>
        <v>0</v>
      </c>
      <c r="N56" s="33" cm="1">
        <f t="array" ref="N56">fc(魚類月份!O56)</f>
        <v>0</v>
      </c>
      <c r="O56" s="33" cm="1">
        <f t="array" ref="O56">fc(魚類月份!P56)</f>
        <v>1</v>
      </c>
      <c r="P56" s="33" cm="1">
        <f t="array" ref="P56">fc(魚類月份!Q56)</f>
        <v>0</v>
      </c>
      <c r="Q56" s="33" cm="1">
        <f t="array" ref="Q56">fc(魚類月份!R56)</f>
        <v>0</v>
      </c>
      <c r="R56" s="33" cm="1">
        <f t="array" ref="R56">fc(魚類月份!S56)</f>
        <v>0</v>
      </c>
      <c r="S56" s="63" t="s">
        <v>197</v>
      </c>
    </row>
    <row r="57" spans="1:19" x14ac:dyDescent="0.2">
      <c r="A57" s="73"/>
      <c r="B57" s="63"/>
      <c r="C57" s="74"/>
      <c r="D57" s="75"/>
      <c r="E57" s="76"/>
      <c r="F57" s="35" t="s">
        <v>198</v>
      </c>
      <c r="G57" s="33" cm="1">
        <f t="array" ref="G57">fc(魚類月份!H57)</f>
        <v>0</v>
      </c>
      <c r="H57" s="33" cm="1">
        <f t="array" ref="H57">fc(魚類月份!I57)</f>
        <v>0</v>
      </c>
      <c r="I57" s="33" cm="1">
        <f t="array" ref="I57">fc(魚類月份!J57)</f>
        <v>1</v>
      </c>
      <c r="J57" s="33" cm="1">
        <f t="array" ref="J57">fc(魚類月份!K57)</f>
        <v>0</v>
      </c>
      <c r="K57" s="33" cm="1">
        <f t="array" ref="K57">fc(魚類月份!L57)</f>
        <v>0</v>
      </c>
      <c r="L57" s="33" cm="1">
        <f t="array" ref="L57">fc(魚類月份!M57)</f>
        <v>0</v>
      </c>
      <c r="M57" s="33" cm="1">
        <f t="array" ref="M57">fc(魚類月份!N57)</f>
        <v>0</v>
      </c>
      <c r="N57" s="33" cm="1">
        <f t="array" ref="N57">fc(魚類月份!O57)</f>
        <v>0</v>
      </c>
      <c r="O57" s="33" cm="1">
        <f t="array" ref="O57">fc(魚類月份!P57)</f>
        <v>0</v>
      </c>
      <c r="P57" s="33" cm="1">
        <f t="array" ref="P57">fc(魚類月份!Q57)</f>
        <v>0</v>
      </c>
      <c r="Q57" s="33" cm="1">
        <f t="array" ref="Q57">fc(魚類月份!R57)</f>
        <v>0</v>
      </c>
      <c r="R57" s="33" cm="1">
        <f t="array" ref="R57">fc(魚類月份!S57)</f>
        <v>0</v>
      </c>
      <c r="S57" s="63"/>
    </row>
    <row r="58" spans="1:19" ht="15" customHeight="1" x14ac:dyDescent="0.2">
      <c r="A58" s="72" t="str">
        <f>SUBSTITUTE(SUBSTITUTE(魚類月份!B58,CHAR(13),","),CHAR(10),",")</f>
        <v>帝王鮭,King salmon</v>
      </c>
      <c r="B58" s="68">
        <v>1440</v>
      </c>
      <c r="C58" s="69">
        <f>B58/0.8</f>
        <v>1800</v>
      </c>
      <c r="D58" s="70" t="s">
        <v>208</v>
      </c>
      <c r="E58" s="71" t="s">
        <v>206</v>
      </c>
      <c r="F58" s="37" t="s">
        <v>184</v>
      </c>
      <c r="G58" s="33" cm="1">
        <f t="array" ref="G58">fc(魚類月份!H58)</f>
        <v>0</v>
      </c>
      <c r="H58" s="33" cm="1">
        <f t="array" ref="H58">fc(魚類月份!I58)</f>
        <v>0</v>
      </c>
      <c r="I58" s="33" cm="1">
        <f t="array" ref="I58">fc(魚類月份!J58)</f>
        <v>0</v>
      </c>
      <c r="J58" s="33" cm="1">
        <f t="array" ref="J58">fc(魚類月份!K58)</f>
        <v>0</v>
      </c>
      <c r="K58" s="33" cm="1">
        <f t="array" ref="K58">fc(魚類月份!L58)</f>
        <v>0</v>
      </c>
      <c r="L58" s="33" cm="1">
        <f t="array" ref="L58">fc(魚類月份!M58)</f>
        <v>0</v>
      </c>
      <c r="M58" s="33" cm="1">
        <f t="array" ref="M58">fc(魚類月份!N58)</f>
        <v>0</v>
      </c>
      <c r="N58" s="33" cm="1">
        <f t="array" ref="N58">fc(魚類月份!O58)</f>
        <v>0</v>
      </c>
      <c r="O58" s="33" cm="1">
        <f t="array" ref="O58">fc(魚類月份!P58)</f>
        <v>1</v>
      </c>
      <c r="P58" s="33" cm="1">
        <f t="array" ref="P58">fc(魚類月份!Q58)</f>
        <v>0</v>
      </c>
      <c r="Q58" s="33" cm="1">
        <f t="array" ref="Q58">fc(魚類月份!R58)</f>
        <v>0</v>
      </c>
      <c r="R58" s="33" cm="1">
        <f t="array" ref="R58">fc(魚類月份!S58)</f>
        <v>0</v>
      </c>
      <c r="S58" s="68" t="s">
        <v>197</v>
      </c>
    </row>
    <row r="59" spans="1:19" x14ac:dyDescent="0.2">
      <c r="A59" s="73"/>
      <c r="B59" s="68"/>
      <c r="C59" s="69"/>
      <c r="D59" s="70"/>
      <c r="E59" s="71"/>
      <c r="F59" s="39" t="s">
        <v>198</v>
      </c>
      <c r="G59" s="33" cm="1">
        <f t="array" ref="G59">fc(魚類月份!H59)</f>
        <v>0</v>
      </c>
      <c r="H59" s="33" cm="1">
        <f t="array" ref="H59">fc(魚類月份!I59)</f>
        <v>0</v>
      </c>
      <c r="I59" s="33" cm="1">
        <f t="array" ref="I59">fc(魚類月份!J59)</f>
        <v>1</v>
      </c>
      <c r="J59" s="33" cm="1">
        <f t="array" ref="J59">fc(魚類月份!K59)</f>
        <v>0</v>
      </c>
      <c r="K59" s="33" cm="1">
        <f t="array" ref="K59">fc(魚類月份!L59)</f>
        <v>0</v>
      </c>
      <c r="L59" s="33" cm="1">
        <f t="array" ref="L59">fc(魚類月份!M59)</f>
        <v>0</v>
      </c>
      <c r="M59" s="33" cm="1">
        <f t="array" ref="M59">fc(魚類月份!N59)</f>
        <v>0</v>
      </c>
      <c r="N59" s="33" cm="1">
        <f t="array" ref="N59">fc(魚類月份!O59)</f>
        <v>0</v>
      </c>
      <c r="O59" s="33" cm="1">
        <f t="array" ref="O59">fc(魚類月份!P59)</f>
        <v>0</v>
      </c>
      <c r="P59" s="33" cm="1">
        <f t="array" ref="P59">fc(魚類月份!Q59)</f>
        <v>0</v>
      </c>
      <c r="Q59" s="33" cm="1">
        <f t="array" ref="Q59">fc(魚類月份!R59)</f>
        <v>0</v>
      </c>
      <c r="R59" s="33" cm="1">
        <f t="array" ref="R59">fc(魚類月份!S59)</f>
        <v>0</v>
      </c>
      <c r="S59" s="68"/>
    </row>
    <row r="60" spans="1:19" ht="15" customHeight="1" x14ac:dyDescent="0.2">
      <c r="A60" s="72" t="str">
        <f>SUBSTITUTE(SUBSTITUTE(魚類月份!B60,CHAR(13),","),CHAR(10),",")</f>
        <v>中華絨螯蟹,Mitten crab</v>
      </c>
      <c r="B60" s="63">
        <v>1600</v>
      </c>
      <c r="C60" s="74">
        <f>B60/0.8</f>
        <v>2000</v>
      </c>
      <c r="D60" s="75" t="s">
        <v>182</v>
      </c>
      <c r="E60" s="76" t="s">
        <v>200</v>
      </c>
      <c r="F60" s="32" t="s">
        <v>184</v>
      </c>
      <c r="G60" s="33" cm="1">
        <f t="array" ref="G60">fc(魚類月份!H60)</f>
        <v>0</v>
      </c>
      <c r="H60" s="33" cm="1">
        <f t="array" ref="H60">fc(魚類月份!I60)</f>
        <v>0</v>
      </c>
      <c r="I60" s="33" cm="1">
        <f t="array" ref="I60">fc(魚類月份!J60)</f>
        <v>0</v>
      </c>
      <c r="J60" s="33" cm="1">
        <f t="array" ref="J60">fc(魚類月份!K60)</f>
        <v>0</v>
      </c>
      <c r="K60" s="33" cm="1">
        <f t="array" ref="K60">fc(魚類月份!L60)</f>
        <v>0</v>
      </c>
      <c r="L60" s="33" cm="1">
        <f t="array" ref="L60">fc(魚類月份!M60)</f>
        <v>0</v>
      </c>
      <c r="M60" s="33" cm="1">
        <f t="array" ref="M60">fc(魚類月份!N60)</f>
        <v>0</v>
      </c>
      <c r="N60" s="33" cm="1">
        <f t="array" ref="N60">fc(魚類月份!O60)</f>
        <v>0</v>
      </c>
      <c r="O60" s="33" cm="1">
        <f t="array" ref="O60">fc(魚類月份!P60)</f>
        <v>1</v>
      </c>
      <c r="P60" s="33" cm="1">
        <f t="array" ref="P60">fc(魚類月份!Q60)</f>
        <v>1</v>
      </c>
      <c r="Q60" s="33" cm="1">
        <f t="array" ref="Q60">fc(魚類月份!R60)</f>
        <v>1</v>
      </c>
      <c r="R60" s="33" cm="1">
        <f t="array" ref="R60">fc(魚類月份!S60)</f>
        <v>0</v>
      </c>
      <c r="S60" s="63" t="s">
        <v>202</v>
      </c>
    </row>
    <row r="61" spans="1:19" x14ac:dyDescent="0.2">
      <c r="A61" s="73"/>
      <c r="B61" s="63"/>
      <c r="C61" s="74"/>
      <c r="D61" s="75"/>
      <c r="E61" s="76"/>
      <c r="F61" s="35" t="s">
        <v>198</v>
      </c>
      <c r="G61" s="33" cm="1">
        <f t="array" ref="G61">fc(魚類月份!H61)</f>
        <v>0</v>
      </c>
      <c r="H61" s="33" cm="1">
        <f t="array" ref="H61">fc(魚類月份!I61)</f>
        <v>1</v>
      </c>
      <c r="I61" s="33" cm="1">
        <f t="array" ref="I61">fc(魚類月份!J61)</f>
        <v>1</v>
      </c>
      <c r="J61" s="33" cm="1">
        <f t="array" ref="J61">fc(魚類月份!K61)</f>
        <v>1</v>
      </c>
      <c r="K61" s="33" cm="1">
        <f t="array" ref="K61">fc(魚類月份!L61)</f>
        <v>0</v>
      </c>
      <c r="L61" s="33" cm="1">
        <f t="array" ref="L61">fc(魚類月份!M61)</f>
        <v>0</v>
      </c>
      <c r="M61" s="33" cm="1">
        <f t="array" ref="M61">fc(魚類月份!N61)</f>
        <v>0</v>
      </c>
      <c r="N61" s="33" cm="1">
        <f t="array" ref="N61">fc(魚類月份!O61)</f>
        <v>0</v>
      </c>
      <c r="O61" s="33" cm="1">
        <f t="array" ref="O61">fc(魚類月份!P61)</f>
        <v>0</v>
      </c>
      <c r="P61" s="33" cm="1">
        <f t="array" ref="P61">fc(魚類月份!Q61)</f>
        <v>0</v>
      </c>
      <c r="Q61" s="33" cm="1">
        <f t="array" ref="Q61">fc(魚類月份!R61)</f>
        <v>0</v>
      </c>
      <c r="R61" s="33" cm="1">
        <f t="array" ref="R61">fc(魚類月份!S61)</f>
        <v>0</v>
      </c>
      <c r="S61" s="63"/>
    </row>
    <row r="62" spans="1:19" ht="15" customHeight="1" x14ac:dyDescent="0.2">
      <c r="A62" s="72" t="str">
        <f>SUBSTITUTE(SUBSTITUTE(魚類月份!B62,CHAR(13),","),CHAR(10),",")</f>
        <v>孔雀魚,Guppy</v>
      </c>
      <c r="B62" s="68">
        <v>1040</v>
      </c>
      <c r="C62" s="69">
        <f>B62/0.8</f>
        <v>1300</v>
      </c>
      <c r="D62" s="70" t="s">
        <v>182</v>
      </c>
      <c r="E62" s="71" t="s">
        <v>183</v>
      </c>
      <c r="F62" s="37" t="s">
        <v>184</v>
      </c>
      <c r="G62" s="33" cm="1">
        <f t="array" ref="G62">fc(魚類月份!H62)</f>
        <v>0</v>
      </c>
      <c r="H62" s="33" cm="1">
        <f t="array" ref="H62">fc(魚類月份!I62)</f>
        <v>0</v>
      </c>
      <c r="I62" s="33" cm="1">
        <f t="array" ref="I62">fc(魚類月份!J62)</f>
        <v>0</v>
      </c>
      <c r="J62" s="33" cm="1">
        <f t="array" ref="J62">fc(魚類月份!K62)</f>
        <v>1</v>
      </c>
      <c r="K62" s="33" cm="1">
        <f t="array" ref="K62">fc(魚類月份!L62)</f>
        <v>1</v>
      </c>
      <c r="L62" s="33" cm="1">
        <f t="array" ref="L62">fc(魚類月份!M62)</f>
        <v>1</v>
      </c>
      <c r="M62" s="33" cm="1">
        <f t="array" ref="M62">fc(魚類月份!N62)</f>
        <v>1</v>
      </c>
      <c r="N62" s="33" cm="1">
        <f t="array" ref="N62">fc(魚類月份!O62)</f>
        <v>1</v>
      </c>
      <c r="O62" s="33" cm="1">
        <f t="array" ref="O62">fc(魚類月份!P62)</f>
        <v>1</v>
      </c>
      <c r="P62" s="33" cm="1">
        <f t="array" ref="P62">fc(魚類月份!Q62)</f>
        <v>1</v>
      </c>
      <c r="Q62" s="33" cm="1">
        <f t="array" ref="Q62">fc(魚類月份!R62)</f>
        <v>1</v>
      </c>
      <c r="R62" s="33" cm="1">
        <f t="array" ref="R62">fc(魚類月份!S62)</f>
        <v>0</v>
      </c>
      <c r="S62" s="68" t="s">
        <v>199</v>
      </c>
    </row>
    <row r="63" spans="1:19" x14ac:dyDescent="0.2">
      <c r="A63" s="73"/>
      <c r="B63" s="68"/>
      <c r="C63" s="69"/>
      <c r="D63" s="70"/>
      <c r="E63" s="71"/>
      <c r="F63" s="39" t="s">
        <v>198</v>
      </c>
      <c r="G63" s="33" cm="1">
        <f t="array" ref="G63">fc(魚類月份!H63)</f>
        <v>1</v>
      </c>
      <c r="H63" s="33" cm="1">
        <f t="array" ref="H63">fc(魚類月份!I63)</f>
        <v>1</v>
      </c>
      <c r="I63" s="33" cm="1">
        <f t="array" ref="I63">fc(魚類月份!J63)</f>
        <v>1</v>
      </c>
      <c r="J63" s="33" cm="1">
        <f t="array" ref="J63">fc(魚類月份!K63)</f>
        <v>1</v>
      </c>
      <c r="K63" s="33" cm="1">
        <f t="array" ref="K63">fc(魚類月份!L63)</f>
        <v>1</v>
      </c>
      <c r="L63" s="33" cm="1">
        <f t="array" ref="L63">fc(魚類月份!M63)</f>
        <v>0</v>
      </c>
      <c r="M63" s="33" cm="1">
        <f t="array" ref="M63">fc(魚類月份!N63)</f>
        <v>0</v>
      </c>
      <c r="N63" s="33" cm="1">
        <f t="array" ref="N63">fc(魚類月份!O63)</f>
        <v>0</v>
      </c>
      <c r="O63" s="33" cm="1">
        <f t="array" ref="O63">fc(魚類月份!P63)</f>
        <v>0</v>
      </c>
      <c r="P63" s="33" cm="1">
        <f t="array" ref="P63">fc(魚類月份!Q63)</f>
        <v>1</v>
      </c>
      <c r="Q63" s="33" cm="1">
        <f t="array" ref="Q63">fc(魚類月份!R63)</f>
        <v>1</v>
      </c>
      <c r="R63" s="33" cm="1">
        <f t="array" ref="R63">fc(魚類月份!S63)</f>
        <v>1</v>
      </c>
      <c r="S63" s="68"/>
    </row>
    <row r="64" spans="1:19" ht="15" customHeight="1" x14ac:dyDescent="0.2">
      <c r="A64" s="72" t="str">
        <f>SUBSTITUTE(SUBSTITUTE(魚類月份!B64,CHAR(13),","),CHAR(10),",")</f>
        <v>溫泉醫生魚,Nibble fish</v>
      </c>
      <c r="B64" s="63">
        <v>1200</v>
      </c>
      <c r="C64" s="74">
        <f>B64/0.8</f>
        <v>1500</v>
      </c>
      <c r="D64" s="75" t="s">
        <v>182</v>
      </c>
      <c r="E64" s="76" t="s">
        <v>183</v>
      </c>
      <c r="F64" s="32" t="s">
        <v>184</v>
      </c>
      <c r="G64" s="33" cm="1">
        <f t="array" ref="G64">fc(魚類月份!H64)</f>
        <v>0</v>
      </c>
      <c r="H64" s="33" cm="1">
        <f t="array" ref="H64">fc(魚類月份!I64)</f>
        <v>0</v>
      </c>
      <c r="I64" s="33" cm="1">
        <f t="array" ref="I64">fc(魚類月份!J64)</f>
        <v>0</v>
      </c>
      <c r="J64" s="33" cm="1">
        <f t="array" ref="J64">fc(魚類月份!K64)</f>
        <v>0</v>
      </c>
      <c r="K64" s="33" cm="1">
        <f t="array" ref="K64">fc(魚類月份!L64)</f>
        <v>1</v>
      </c>
      <c r="L64" s="33" cm="1">
        <f t="array" ref="L64">fc(魚類月份!M64)</f>
        <v>1</v>
      </c>
      <c r="M64" s="33" cm="1">
        <f t="array" ref="M64">fc(魚類月份!N64)</f>
        <v>1</v>
      </c>
      <c r="N64" s="33" cm="1">
        <f t="array" ref="N64">fc(魚類月份!O64)</f>
        <v>1</v>
      </c>
      <c r="O64" s="33" cm="1">
        <f t="array" ref="O64">fc(魚類月份!P64)</f>
        <v>1</v>
      </c>
      <c r="P64" s="33" cm="1">
        <f t="array" ref="P64">fc(魚類月份!Q64)</f>
        <v>0</v>
      </c>
      <c r="Q64" s="33" cm="1">
        <f t="array" ref="Q64">fc(魚類月份!R64)</f>
        <v>0</v>
      </c>
      <c r="R64" s="33" cm="1">
        <f t="array" ref="R64">fc(魚類月份!S64)</f>
        <v>0</v>
      </c>
      <c r="S64" s="63" t="s">
        <v>199</v>
      </c>
    </row>
    <row r="65" spans="1:19" x14ac:dyDescent="0.2">
      <c r="A65" s="73"/>
      <c r="B65" s="63"/>
      <c r="C65" s="74"/>
      <c r="D65" s="75"/>
      <c r="E65" s="76"/>
      <c r="F65" s="35" t="s">
        <v>198</v>
      </c>
      <c r="G65" s="33" cm="1">
        <f t="array" ref="G65">fc(魚類月份!H65)</f>
        <v>1</v>
      </c>
      <c r="H65" s="33" cm="1">
        <f t="array" ref="H65">fc(魚類月份!I65)</f>
        <v>1</v>
      </c>
      <c r="I65" s="33" cm="1">
        <f t="array" ref="I65">fc(魚類月份!J65)</f>
        <v>1</v>
      </c>
      <c r="J65" s="33" cm="1">
        <f t="array" ref="J65">fc(魚類月份!K65)</f>
        <v>0</v>
      </c>
      <c r="K65" s="33" cm="1">
        <f t="array" ref="K65">fc(魚類月份!L65)</f>
        <v>0</v>
      </c>
      <c r="L65" s="33" cm="1">
        <f t="array" ref="L65">fc(魚類月份!M65)</f>
        <v>0</v>
      </c>
      <c r="M65" s="33" cm="1">
        <f t="array" ref="M65">fc(魚類月份!N65)</f>
        <v>0</v>
      </c>
      <c r="N65" s="33" cm="1">
        <f t="array" ref="N65">fc(魚類月份!O65)</f>
        <v>0</v>
      </c>
      <c r="O65" s="33" cm="1">
        <f t="array" ref="O65">fc(魚類月份!P65)</f>
        <v>0</v>
      </c>
      <c r="P65" s="33" cm="1">
        <f t="array" ref="P65">fc(魚類月份!Q65)</f>
        <v>0</v>
      </c>
      <c r="Q65" s="33" cm="1">
        <f t="array" ref="Q65">fc(魚類月份!R65)</f>
        <v>1</v>
      </c>
      <c r="R65" s="33" cm="1">
        <f t="array" ref="R65">fc(魚類月份!S65)</f>
        <v>1</v>
      </c>
      <c r="S65" s="63"/>
    </row>
    <row r="66" spans="1:19" ht="15" customHeight="1" x14ac:dyDescent="0.2">
      <c r="A66" s="72" t="str">
        <f>SUBSTITUTE(SUBSTITUTE(魚類月份!B66,CHAR(13),","),CHAR(10),",")</f>
        <v>神仙魚,Angelfish</v>
      </c>
      <c r="B66" s="68">
        <v>2400</v>
      </c>
      <c r="C66" s="69">
        <f>B66/0.8</f>
        <v>3000</v>
      </c>
      <c r="D66" s="70" t="s">
        <v>182</v>
      </c>
      <c r="E66" s="71" t="s">
        <v>200</v>
      </c>
      <c r="F66" s="37" t="s">
        <v>184</v>
      </c>
      <c r="G66" s="33" cm="1">
        <f t="array" ref="G66">fc(魚類月份!H66)</f>
        <v>0</v>
      </c>
      <c r="H66" s="33" cm="1">
        <f t="array" ref="H66">fc(魚類月份!I66)</f>
        <v>0</v>
      </c>
      <c r="I66" s="33" cm="1">
        <f t="array" ref="I66">fc(魚類月份!J66)</f>
        <v>0</v>
      </c>
      <c r="J66" s="33" cm="1">
        <f t="array" ref="J66">fc(魚類月份!K66)</f>
        <v>0</v>
      </c>
      <c r="K66" s="33" cm="1">
        <f t="array" ref="K66">fc(魚類月份!L66)</f>
        <v>1</v>
      </c>
      <c r="L66" s="33" cm="1">
        <f t="array" ref="L66">fc(魚類月份!M66)</f>
        <v>1</v>
      </c>
      <c r="M66" s="33" cm="1">
        <f t="array" ref="M66">fc(魚類月份!N66)</f>
        <v>1</v>
      </c>
      <c r="N66" s="33" cm="1">
        <f t="array" ref="N66">fc(魚類月份!O66)</f>
        <v>1</v>
      </c>
      <c r="O66" s="33" cm="1">
        <f t="array" ref="O66">fc(魚類月份!P66)</f>
        <v>1</v>
      </c>
      <c r="P66" s="33" cm="1">
        <f t="array" ref="P66">fc(魚類月份!Q66)</f>
        <v>1</v>
      </c>
      <c r="Q66" s="33" cm="1">
        <f t="array" ref="Q66">fc(魚類月份!R66)</f>
        <v>0</v>
      </c>
      <c r="R66" s="33" cm="1">
        <f t="array" ref="R66">fc(魚類月份!S66)</f>
        <v>0</v>
      </c>
      <c r="S66" s="68" t="s">
        <v>202</v>
      </c>
    </row>
    <row r="67" spans="1:19" x14ac:dyDescent="0.2">
      <c r="A67" s="73"/>
      <c r="B67" s="68"/>
      <c r="C67" s="69"/>
      <c r="D67" s="70"/>
      <c r="E67" s="71"/>
      <c r="F67" s="39" t="s">
        <v>198</v>
      </c>
      <c r="G67" s="33" cm="1">
        <f t="array" ref="G67">fc(魚類月份!H67)</f>
        <v>1</v>
      </c>
      <c r="H67" s="33" cm="1">
        <f t="array" ref="H67">fc(魚類月份!I67)</f>
        <v>1</v>
      </c>
      <c r="I67" s="33" cm="1">
        <f t="array" ref="I67">fc(魚類月份!J67)</f>
        <v>1</v>
      </c>
      <c r="J67" s="33" cm="1">
        <f t="array" ref="J67">fc(魚類月份!K67)</f>
        <v>1</v>
      </c>
      <c r="K67" s="33" cm="1">
        <f t="array" ref="K67">fc(魚類月份!L67)</f>
        <v>0</v>
      </c>
      <c r="L67" s="33" cm="1">
        <f t="array" ref="L67">fc(魚類月份!M67)</f>
        <v>0</v>
      </c>
      <c r="M67" s="33" cm="1">
        <f t="array" ref="M67">fc(魚類月份!N67)</f>
        <v>0</v>
      </c>
      <c r="N67" s="33" cm="1">
        <f t="array" ref="N67">fc(魚類月份!O67)</f>
        <v>0</v>
      </c>
      <c r="O67" s="33" cm="1">
        <f t="array" ref="O67">fc(魚類月份!P67)</f>
        <v>0</v>
      </c>
      <c r="P67" s="33" cm="1">
        <f t="array" ref="P67">fc(魚類月份!Q67)</f>
        <v>0</v>
      </c>
      <c r="Q67" s="33" cm="1">
        <f t="array" ref="Q67">fc(魚類月份!R67)</f>
        <v>1</v>
      </c>
      <c r="R67" s="33" cm="1">
        <f t="array" ref="R67">fc(魚類月份!S67)</f>
        <v>1</v>
      </c>
      <c r="S67" s="68"/>
    </row>
    <row r="68" spans="1:19" ht="15" customHeight="1" x14ac:dyDescent="0.2">
      <c r="A68" s="72" t="str">
        <f>SUBSTITUTE(SUBSTITUTE(魚類月份!B68,CHAR(13),","),CHAR(10),",")</f>
        <v>鬥魚,Betta</v>
      </c>
      <c r="B68" s="63">
        <v>2000</v>
      </c>
      <c r="C68" s="74">
        <f>B68/0.8</f>
        <v>2500</v>
      </c>
      <c r="D68" s="75" t="s">
        <v>182</v>
      </c>
      <c r="E68" s="76" t="s">
        <v>200</v>
      </c>
      <c r="F68" s="32" t="s">
        <v>184</v>
      </c>
      <c r="G68" s="33" cm="1">
        <f t="array" ref="G68">fc(魚類月份!H68)</f>
        <v>0</v>
      </c>
      <c r="H68" s="33" cm="1">
        <f t="array" ref="H68">fc(魚類月份!I68)</f>
        <v>0</v>
      </c>
      <c r="I68" s="33" cm="1">
        <f t="array" ref="I68">fc(魚類月份!J68)</f>
        <v>0</v>
      </c>
      <c r="J68" s="33" cm="1">
        <f t="array" ref="J68">fc(魚類月份!K68)</f>
        <v>0</v>
      </c>
      <c r="K68" s="33" cm="1">
        <f t="array" ref="K68">fc(魚類月份!L68)</f>
        <v>1</v>
      </c>
      <c r="L68" s="33" cm="1">
        <f t="array" ref="L68">fc(魚類月份!M68)</f>
        <v>1</v>
      </c>
      <c r="M68" s="33" cm="1">
        <f t="array" ref="M68">fc(魚類月份!N68)</f>
        <v>1</v>
      </c>
      <c r="N68" s="33" cm="1">
        <f t="array" ref="N68">fc(魚類月份!O68)</f>
        <v>1</v>
      </c>
      <c r="O68" s="33" cm="1">
        <f t="array" ref="O68">fc(魚類月份!P68)</f>
        <v>1</v>
      </c>
      <c r="P68" s="33" cm="1">
        <f t="array" ref="P68">fc(魚類月份!Q68)</f>
        <v>1</v>
      </c>
      <c r="Q68" s="33" cm="1">
        <f t="array" ref="Q68">fc(魚類月份!R68)</f>
        <v>0</v>
      </c>
      <c r="R68" s="33" cm="1">
        <f t="array" ref="R68">fc(魚類月份!S68)</f>
        <v>0</v>
      </c>
      <c r="S68" s="63" t="s">
        <v>199</v>
      </c>
    </row>
    <row r="69" spans="1:19" x14ac:dyDescent="0.2">
      <c r="A69" s="73"/>
      <c r="B69" s="63"/>
      <c r="C69" s="74"/>
      <c r="D69" s="75"/>
      <c r="E69" s="76"/>
      <c r="F69" s="35" t="s">
        <v>198</v>
      </c>
      <c r="G69" s="33" cm="1">
        <f t="array" ref="G69">fc(魚類月份!H69)</f>
        <v>1</v>
      </c>
      <c r="H69" s="33" cm="1">
        <f t="array" ref="H69">fc(魚類月份!I69)</f>
        <v>1</v>
      </c>
      <c r="I69" s="33" cm="1">
        <f t="array" ref="I69">fc(魚類月份!J69)</f>
        <v>1</v>
      </c>
      <c r="J69" s="33" cm="1">
        <f t="array" ref="J69">fc(魚類月份!K69)</f>
        <v>1</v>
      </c>
      <c r="K69" s="33" cm="1">
        <f t="array" ref="K69">fc(魚類月份!L69)</f>
        <v>0</v>
      </c>
      <c r="L69" s="33" cm="1">
        <f t="array" ref="L69">fc(魚類月份!M69)</f>
        <v>0</v>
      </c>
      <c r="M69" s="33" cm="1">
        <f t="array" ref="M69">fc(魚類月份!N69)</f>
        <v>0</v>
      </c>
      <c r="N69" s="33" cm="1">
        <f t="array" ref="N69">fc(魚類月份!O69)</f>
        <v>0</v>
      </c>
      <c r="O69" s="33" cm="1">
        <f t="array" ref="O69">fc(魚類月份!P69)</f>
        <v>0</v>
      </c>
      <c r="P69" s="33" cm="1">
        <f t="array" ref="P69">fc(魚類月份!Q69)</f>
        <v>0</v>
      </c>
      <c r="Q69" s="33" cm="1">
        <f t="array" ref="Q69">fc(魚類月份!R69)</f>
        <v>1</v>
      </c>
      <c r="R69" s="33" cm="1">
        <f t="array" ref="R69">fc(魚類月份!S69)</f>
        <v>1</v>
      </c>
      <c r="S69" s="63"/>
    </row>
    <row r="70" spans="1:19" ht="15" customHeight="1" x14ac:dyDescent="0.2">
      <c r="A70" s="72" t="str">
        <f>SUBSTITUTE(SUBSTITUTE(魚類月份!B70,CHAR(13),","),CHAR(10),",")</f>
        <v>霓虹燈魚,Neon tetra</v>
      </c>
      <c r="B70" s="68">
        <v>400</v>
      </c>
      <c r="C70" s="69">
        <f>B70/0.8</f>
        <v>500</v>
      </c>
      <c r="D70" s="70" t="s">
        <v>182</v>
      </c>
      <c r="E70" s="71" t="s">
        <v>183</v>
      </c>
      <c r="F70" s="37" t="s">
        <v>184</v>
      </c>
      <c r="G70" s="33" cm="1">
        <f t="array" ref="G70">fc(魚類月份!H70)</f>
        <v>0</v>
      </c>
      <c r="H70" s="33" cm="1">
        <f t="array" ref="H70">fc(魚類月份!I70)</f>
        <v>0</v>
      </c>
      <c r="I70" s="33" cm="1">
        <f t="array" ref="I70">fc(魚類月份!J70)</f>
        <v>0</v>
      </c>
      <c r="J70" s="33" cm="1">
        <f t="array" ref="J70">fc(魚類月份!K70)</f>
        <v>1</v>
      </c>
      <c r="K70" s="33" cm="1">
        <f t="array" ref="K70">fc(魚類月份!L70)</f>
        <v>1</v>
      </c>
      <c r="L70" s="33" cm="1">
        <f t="array" ref="L70">fc(魚類月份!M70)</f>
        <v>1</v>
      </c>
      <c r="M70" s="33" cm="1">
        <f t="array" ref="M70">fc(魚類月份!N70)</f>
        <v>1</v>
      </c>
      <c r="N70" s="33" cm="1">
        <f t="array" ref="N70">fc(魚類月份!O70)</f>
        <v>1</v>
      </c>
      <c r="O70" s="33" cm="1">
        <f t="array" ref="O70">fc(魚類月份!P70)</f>
        <v>1</v>
      </c>
      <c r="P70" s="33" cm="1">
        <f t="array" ref="P70">fc(魚類月份!Q70)</f>
        <v>1</v>
      </c>
      <c r="Q70" s="33" cm="1">
        <f t="array" ref="Q70">fc(魚類月份!R70)</f>
        <v>1</v>
      </c>
      <c r="R70" s="33" cm="1">
        <f t="array" ref="R70">fc(魚類月份!S70)</f>
        <v>0</v>
      </c>
      <c r="S70" s="68" t="s">
        <v>199</v>
      </c>
    </row>
    <row r="71" spans="1:19" x14ac:dyDescent="0.2">
      <c r="A71" s="73"/>
      <c r="B71" s="68"/>
      <c r="C71" s="69"/>
      <c r="D71" s="70"/>
      <c r="E71" s="71"/>
      <c r="F71" s="39" t="s">
        <v>198</v>
      </c>
      <c r="G71" s="33" cm="1">
        <f t="array" ref="G71">fc(魚類月份!H71)</f>
        <v>1</v>
      </c>
      <c r="H71" s="33" cm="1">
        <f t="array" ref="H71">fc(魚類月份!I71)</f>
        <v>1</v>
      </c>
      <c r="I71" s="33" cm="1">
        <f t="array" ref="I71">fc(魚類月份!J71)</f>
        <v>1</v>
      </c>
      <c r="J71" s="33" cm="1">
        <f t="array" ref="J71">fc(魚類月份!K71)</f>
        <v>1</v>
      </c>
      <c r="K71" s="33" cm="1">
        <f t="array" ref="K71">fc(魚類月份!L71)</f>
        <v>1</v>
      </c>
      <c r="L71" s="33" cm="1">
        <f t="array" ref="L71">fc(魚類月份!M71)</f>
        <v>0</v>
      </c>
      <c r="M71" s="33" cm="1">
        <f t="array" ref="M71">fc(魚類月份!N71)</f>
        <v>0</v>
      </c>
      <c r="N71" s="33" cm="1">
        <f t="array" ref="N71">fc(魚類月份!O71)</f>
        <v>0</v>
      </c>
      <c r="O71" s="33" cm="1">
        <f t="array" ref="O71">fc(魚類月份!P71)</f>
        <v>0</v>
      </c>
      <c r="P71" s="33" cm="1">
        <f t="array" ref="P71">fc(魚類月份!Q71)</f>
        <v>1</v>
      </c>
      <c r="Q71" s="33" cm="1">
        <f t="array" ref="Q71">fc(魚類月份!R71)</f>
        <v>1</v>
      </c>
      <c r="R71" s="33" cm="1">
        <f t="array" ref="R71">fc(魚類月份!S71)</f>
        <v>1</v>
      </c>
      <c r="S71" s="68"/>
    </row>
    <row r="72" spans="1:19" ht="15" customHeight="1" x14ac:dyDescent="0.2">
      <c r="A72" s="72" t="str">
        <f>SUBSTITUTE(SUBSTITUTE(魚類月份!B72,CHAR(13),","),CHAR(10),",")</f>
        <v>彩虹魚,Rainbowfish</v>
      </c>
      <c r="B72" s="63">
        <v>640</v>
      </c>
      <c r="C72" s="74">
        <f>B72/0.8</f>
        <v>800</v>
      </c>
      <c r="D72" s="75" t="s">
        <v>182</v>
      </c>
      <c r="E72" s="76" t="s">
        <v>200</v>
      </c>
      <c r="F72" s="32" t="s">
        <v>184</v>
      </c>
      <c r="G72" s="33" cm="1">
        <f t="array" ref="G72">fc(魚類月份!H72)</f>
        <v>0</v>
      </c>
      <c r="H72" s="33" cm="1">
        <f t="array" ref="H72">fc(魚類月份!I72)</f>
        <v>0</v>
      </c>
      <c r="I72" s="33" cm="1">
        <f t="array" ref="I72">fc(魚類月份!J72)</f>
        <v>0</v>
      </c>
      <c r="J72" s="33" cm="1">
        <f t="array" ref="J72">fc(魚類月份!K72)</f>
        <v>0</v>
      </c>
      <c r="K72" s="33" cm="1">
        <f t="array" ref="K72">fc(魚類月份!L72)</f>
        <v>1</v>
      </c>
      <c r="L72" s="33" cm="1">
        <f t="array" ref="L72">fc(魚類月份!M72)</f>
        <v>1</v>
      </c>
      <c r="M72" s="33" cm="1">
        <f t="array" ref="M72">fc(魚類月份!N72)</f>
        <v>1</v>
      </c>
      <c r="N72" s="33" cm="1">
        <f t="array" ref="N72">fc(魚類月份!O72)</f>
        <v>1</v>
      </c>
      <c r="O72" s="33" cm="1">
        <f t="array" ref="O72">fc(魚類月份!P72)</f>
        <v>1</v>
      </c>
      <c r="P72" s="33" cm="1">
        <f t="array" ref="P72">fc(魚類月份!Q72)</f>
        <v>1</v>
      </c>
      <c r="Q72" s="33" cm="1">
        <f t="array" ref="Q72">fc(魚類月份!R72)</f>
        <v>0</v>
      </c>
      <c r="R72" s="33" cm="1">
        <f t="array" ref="R72">fc(魚類月份!S72)</f>
        <v>0</v>
      </c>
      <c r="S72" s="63" t="s">
        <v>199</v>
      </c>
    </row>
    <row r="73" spans="1:19" x14ac:dyDescent="0.2">
      <c r="A73" s="73"/>
      <c r="B73" s="63"/>
      <c r="C73" s="74"/>
      <c r="D73" s="75"/>
      <c r="E73" s="76"/>
      <c r="F73" s="35" t="s">
        <v>198</v>
      </c>
      <c r="G73" s="33" cm="1">
        <f t="array" ref="G73">fc(魚類月份!H73)</f>
        <v>1</v>
      </c>
      <c r="H73" s="33" cm="1">
        <f t="array" ref="H73">fc(魚類月份!I73)</f>
        <v>1</v>
      </c>
      <c r="I73" s="33" cm="1">
        <f t="array" ref="I73">fc(魚類月份!J73)</f>
        <v>1</v>
      </c>
      <c r="J73" s="33" cm="1">
        <f t="array" ref="J73">fc(魚類月份!K73)</f>
        <v>1</v>
      </c>
      <c r="K73" s="33" cm="1">
        <f t="array" ref="K73">fc(魚類月份!L73)</f>
        <v>0</v>
      </c>
      <c r="L73" s="33" cm="1">
        <f t="array" ref="L73">fc(魚類月份!M73)</f>
        <v>0</v>
      </c>
      <c r="M73" s="33" cm="1">
        <f t="array" ref="M73">fc(魚類月份!N73)</f>
        <v>0</v>
      </c>
      <c r="N73" s="33" cm="1">
        <f t="array" ref="N73">fc(魚類月份!O73)</f>
        <v>0</v>
      </c>
      <c r="O73" s="33" cm="1">
        <f t="array" ref="O73">fc(魚類月份!P73)</f>
        <v>0</v>
      </c>
      <c r="P73" s="33" cm="1">
        <f t="array" ref="P73">fc(魚類月份!Q73)</f>
        <v>0</v>
      </c>
      <c r="Q73" s="33" cm="1">
        <f t="array" ref="Q73">fc(魚類月份!R73)</f>
        <v>1</v>
      </c>
      <c r="R73" s="33" cm="1">
        <f t="array" ref="R73">fc(魚類月份!S73)</f>
        <v>1</v>
      </c>
      <c r="S73" s="63"/>
    </row>
    <row r="74" spans="1:19" ht="15" customHeight="1" x14ac:dyDescent="0.2">
      <c r="A74" s="72" t="str">
        <f>SUBSTITUTE(SUBSTITUTE(魚類月份!B74,CHAR(13),","),CHAR(10),",")</f>
        <v>食人魚,Piranha</v>
      </c>
      <c r="B74" s="68">
        <v>2000</v>
      </c>
      <c r="C74" s="69">
        <f>B74/0.8</f>
        <v>2500</v>
      </c>
      <c r="D74" s="70" t="s">
        <v>182</v>
      </c>
      <c r="E74" s="71" t="s">
        <v>200</v>
      </c>
      <c r="F74" s="37" t="s">
        <v>184</v>
      </c>
      <c r="G74" s="33" cm="1">
        <f t="array" ref="G74">fc(魚類月份!H74)</f>
        <v>0</v>
      </c>
      <c r="H74" s="33" cm="1">
        <f t="array" ref="H74">fc(魚類月份!I74)</f>
        <v>0</v>
      </c>
      <c r="I74" s="33" cm="1">
        <f t="array" ref="I74">fc(魚類月份!J74)</f>
        <v>0</v>
      </c>
      <c r="J74" s="33" cm="1">
        <f t="array" ref="J74">fc(魚類月份!K74)</f>
        <v>0</v>
      </c>
      <c r="K74" s="33" cm="1">
        <f t="array" ref="K74">fc(魚類月份!L74)</f>
        <v>0</v>
      </c>
      <c r="L74" s="33" cm="1">
        <f t="array" ref="L74">fc(魚類月份!M74)</f>
        <v>1</v>
      </c>
      <c r="M74" s="33" cm="1">
        <f t="array" ref="M74">fc(魚類月份!N74)</f>
        <v>1</v>
      </c>
      <c r="N74" s="33" cm="1">
        <f t="array" ref="N74">fc(魚類月份!O74)</f>
        <v>1</v>
      </c>
      <c r="O74" s="33" cm="1">
        <f t="array" ref="O74">fc(魚類月份!P74)</f>
        <v>1</v>
      </c>
      <c r="P74" s="33" cm="1">
        <f t="array" ref="P74">fc(魚類月份!Q74)</f>
        <v>0</v>
      </c>
      <c r="Q74" s="33" cm="1">
        <f t="array" ref="Q74">fc(魚類月份!R74)</f>
        <v>0</v>
      </c>
      <c r="R74" s="33" cm="1">
        <f t="array" ref="R74">fc(魚類月份!S74)</f>
        <v>0</v>
      </c>
      <c r="S74" s="68" t="s">
        <v>420</v>
      </c>
    </row>
    <row r="75" spans="1:19" x14ac:dyDescent="0.2">
      <c r="A75" s="73"/>
      <c r="B75" s="68"/>
      <c r="C75" s="69"/>
      <c r="D75" s="70"/>
      <c r="E75" s="71"/>
      <c r="F75" s="39" t="s">
        <v>198</v>
      </c>
      <c r="G75" s="33" cm="1">
        <f t="array" ref="G75">fc(魚類月份!H75)</f>
        <v>1</v>
      </c>
      <c r="H75" s="33" cm="1">
        <f t="array" ref="H75">fc(魚類月份!I75)</f>
        <v>1</v>
      </c>
      <c r="I75" s="33" cm="1">
        <f t="array" ref="I75">fc(魚類月份!J75)</f>
        <v>1</v>
      </c>
      <c r="J75" s="33" cm="1">
        <f t="array" ref="J75">fc(魚類月份!K75)</f>
        <v>0</v>
      </c>
      <c r="K75" s="33" cm="1">
        <f t="array" ref="K75">fc(魚類月份!L75)</f>
        <v>0</v>
      </c>
      <c r="L75" s="33" cm="1">
        <f t="array" ref="L75">fc(魚類月份!M75)</f>
        <v>0</v>
      </c>
      <c r="M75" s="33" cm="1">
        <f t="array" ref="M75">fc(魚類月份!N75)</f>
        <v>0</v>
      </c>
      <c r="N75" s="33" cm="1">
        <f t="array" ref="N75">fc(魚類月份!O75)</f>
        <v>0</v>
      </c>
      <c r="O75" s="33" cm="1">
        <f t="array" ref="O75">fc(魚類月份!P75)</f>
        <v>0</v>
      </c>
      <c r="P75" s="33" cm="1">
        <f t="array" ref="P75">fc(魚類月份!Q75)</f>
        <v>0</v>
      </c>
      <c r="Q75" s="33" cm="1">
        <f t="array" ref="Q75">fc(魚類月份!R75)</f>
        <v>0</v>
      </c>
      <c r="R75" s="33" cm="1">
        <f t="array" ref="R75">fc(魚類月份!S75)</f>
        <v>1</v>
      </c>
      <c r="S75" s="68"/>
    </row>
    <row r="76" spans="1:19" ht="15" customHeight="1" x14ac:dyDescent="0.2">
      <c r="A76" s="72" t="str">
        <f>SUBSTITUTE(SUBSTITUTE(魚類月份!B76,CHAR(13),","),CHAR(10),",")</f>
        <v>骨舌魚,Arowana</v>
      </c>
      <c r="B76" s="63">
        <v>8000</v>
      </c>
      <c r="C76" s="74">
        <f>B76/0.8</f>
        <v>10000</v>
      </c>
      <c r="D76" s="75" t="s">
        <v>182</v>
      </c>
      <c r="E76" s="76" t="s">
        <v>204</v>
      </c>
      <c r="F76" s="32" t="s">
        <v>184</v>
      </c>
      <c r="G76" s="33" cm="1">
        <f t="array" ref="G76">fc(魚類月份!H76)</f>
        <v>0</v>
      </c>
      <c r="H76" s="33" cm="1">
        <f t="array" ref="H76">fc(魚類月份!I76)</f>
        <v>0</v>
      </c>
      <c r="I76" s="33" cm="1">
        <f t="array" ref="I76">fc(魚類月份!J76)</f>
        <v>0</v>
      </c>
      <c r="J76" s="33" cm="1">
        <f t="array" ref="J76">fc(魚類月份!K76)</f>
        <v>0</v>
      </c>
      <c r="K76" s="33" cm="1">
        <f t="array" ref="K76">fc(魚類月份!L76)</f>
        <v>0</v>
      </c>
      <c r="L76" s="33" cm="1">
        <f t="array" ref="L76">fc(魚類月份!M76)</f>
        <v>1</v>
      </c>
      <c r="M76" s="33" cm="1">
        <f t="array" ref="M76">fc(魚類月份!N76)</f>
        <v>1</v>
      </c>
      <c r="N76" s="33" cm="1">
        <f t="array" ref="N76">fc(魚類月份!O76)</f>
        <v>1</v>
      </c>
      <c r="O76" s="33" cm="1">
        <f t="array" ref="O76">fc(魚類月份!P76)</f>
        <v>1</v>
      </c>
      <c r="P76" s="33" cm="1">
        <f t="array" ref="P76">fc(魚類月份!Q76)</f>
        <v>0</v>
      </c>
      <c r="Q76" s="33" cm="1">
        <f t="array" ref="Q76">fc(魚類月份!R76)</f>
        <v>0</v>
      </c>
      <c r="R76" s="33" cm="1">
        <f t="array" ref="R76">fc(魚類月份!S76)</f>
        <v>0</v>
      </c>
      <c r="S76" s="63" t="s">
        <v>202</v>
      </c>
    </row>
    <row r="77" spans="1:19" x14ac:dyDescent="0.2">
      <c r="A77" s="73"/>
      <c r="B77" s="63"/>
      <c r="C77" s="74"/>
      <c r="D77" s="75"/>
      <c r="E77" s="76"/>
      <c r="F77" s="35" t="s">
        <v>198</v>
      </c>
      <c r="G77" s="33" cm="1">
        <f t="array" ref="G77">fc(魚類月份!H77)</f>
        <v>1</v>
      </c>
      <c r="H77" s="33" cm="1">
        <f t="array" ref="H77">fc(魚類月份!I77)</f>
        <v>1</v>
      </c>
      <c r="I77" s="33" cm="1">
        <f t="array" ref="I77">fc(魚類月份!J77)</f>
        <v>1</v>
      </c>
      <c r="J77" s="33" cm="1">
        <f t="array" ref="J77">fc(魚類月份!K77)</f>
        <v>0</v>
      </c>
      <c r="K77" s="33" cm="1">
        <f t="array" ref="K77">fc(魚類月份!L77)</f>
        <v>0</v>
      </c>
      <c r="L77" s="33" cm="1">
        <f t="array" ref="L77">fc(魚類月份!M77)</f>
        <v>0</v>
      </c>
      <c r="M77" s="33" cm="1">
        <f t="array" ref="M77">fc(魚類月份!N77)</f>
        <v>0</v>
      </c>
      <c r="N77" s="33" cm="1">
        <f t="array" ref="N77">fc(魚類月份!O77)</f>
        <v>0</v>
      </c>
      <c r="O77" s="33" cm="1">
        <f t="array" ref="O77">fc(魚類月份!P77)</f>
        <v>0</v>
      </c>
      <c r="P77" s="33" cm="1">
        <f t="array" ref="P77">fc(魚類月份!Q77)</f>
        <v>0</v>
      </c>
      <c r="Q77" s="33" cm="1">
        <f t="array" ref="Q77">fc(魚類月份!R77)</f>
        <v>0</v>
      </c>
      <c r="R77" s="33" cm="1">
        <f t="array" ref="R77">fc(魚類月份!S77)</f>
        <v>1</v>
      </c>
      <c r="S77" s="63"/>
    </row>
    <row r="78" spans="1:19" ht="15" customHeight="1" x14ac:dyDescent="0.2">
      <c r="A78" s="72" t="str">
        <f>SUBSTITUTE(SUBSTITUTE(魚類月份!B78,CHAR(13),","),CHAR(10),",")</f>
        <v>黃金河虎,Dorado</v>
      </c>
      <c r="B78" s="68">
        <v>12000</v>
      </c>
      <c r="C78" s="69">
        <f>B78/0.8</f>
        <v>15000</v>
      </c>
      <c r="D78" s="70" t="s">
        <v>182</v>
      </c>
      <c r="E78" s="71" t="s">
        <v>206</v>
      </c>
      <c r="F78" s="37" t="s">
        <v>184</v>
      </c>
      <c r="G78" s="33" cm="1">
        <f t="array" ref="G78">fc(魚類月份!H78)</f>
        <v>0</v>
      </c>
      <c r="H78" s="33" cm="1">
        <f t="array" ref="H78">fc(魚類月份!I78)</f>
        <v>0</v>
      </c>
      <c r="I78" s="33" cm="1">
        <f t="array" ref="I78">fc(魚類月份!J78)</f>
        <v>0</v>
      </c>
      <c r="J78" s="33" cm="1">
        <f t="array" ref="J78">fc(魚類月份!K78)</f>
        <v>0</v>
      </c>
      <c r="K78" s="33" cm="1">
        <f t="array" ref="K78">fc(魚類月份!L78)</f>
        <v>0</v>
      </c>
      <c r="L78" s="33" cm="1">
        <f t="array" ref="L78">fc(魚類月份!M78)</f>
        <v>1</v>
      </c>
      <c r="M78" s="33" cm="1">
        <f t="array" ref="M78">fc(魚類月份!N78)</f>
        <v>1</v>
      </c>
      <c r="N78" s="33" cm="1">
        <f t="array" ref="N78">fc(魚類月份!O78)</f>
        <v>1</v>
      </c>
      <c r="O78" s="33" cm="1">
        <f t="array" ref="O78">fc(魚類月份!P78)</f>
        <v>1</v>
      </c>
      <c r="P78" s="33" cm="1">
        <f t="array" ref="P78">fc(魚類月份!Q78)</f>
        <v>0</v>
      </c>
      <c r="Q78" s="33" cm="1">
        <f t="array" ref="Q78">fc(魚類月份!R78)</f>
        <v>0</v>
      </c>
      <c r="R78" s="33" cm="1">
        <f t="array" ref="R78">fc(魚類月份!S78)</f>
        <v>0</v>
      </c>
      <c r="S78" s="68" t="s">
        <v>210</v>
      </c>
    </row>
    <row r="79" spans="1:19" x14ac:dyDescent="0.2">
      <c r="A79" s="73"/>
      <c r="B79" s="68"/>
      <c r="C79" s="69"/>
      <c r="D79" s="70"/>
      <c r="E79" s="71"/>
      <c r="F79" s="39" t="s">
        <v>198</v>
      </c>
      <c r="G79" s="33" cm="1">
        <f t="array" ref="G79">fc(魚類月份!H79)</f>
        <v>1</v>
      </c>
      <c r="H79" s="33" cm="1">
        <f t="array" ref="H79">fc(魚類月份!I79)</f>
        <v>1</v>
      </c>
      <c r="I79" s="33" cm="1">
        <f t="array" ref="I79">fc(魚類月份!J79)</f>
        <v>1</v>
      </c>
      <c r="J79" s="33" cm="1">
        <f t="array" ref="J79">fc(魚類月份!K79)</f>
        <v>0</v>
      </c>
      <c r="K79" s="33" cm="1">
        <f t="array" ref="K79">fc(魚類月份!L79)</f>
        <v>0</v>
      </c>
      <c r="L79" s="33" cm="1">
        <f t="array" ref="L79">fc(魚類月份!M79)</f>
        <v>0</v>
      </c>
      <c r="M79" s="33" cm="1">
        <f t="array" ref="M79">fc(魚類月份!N79)</f>
        <v>0</v>
      </c>
      <c r="N79" s="33" cm="1">
        <f t="array" ref="N79">fc(魚類月份!O79)</f>
        <v>0</v>
      </c>
      <c r="O79" s="33" cm="1">
        <f t="array" ref="O79">fc(魚類月份!P79)</f>
        <v>0</v>
      </c>
      <c r="P79" s="33" cm="1">
        <f t="array" ref="P79">fc(魚類月份!Q79)</f>
        <v>0</v>
      </c>
      <c r="Q79" s="33" cm="1">
        <f t="array" ref="Q79">fc(魚類月份!R79)</f>
        <v>0</v>
      </c>
      <c r="R79" s="33" cm="1">
        <f t="array" ref="R79">fc(魚類月份!S79)</f>
        <v>1</v>
      </c>
      <c r="S79" s="68"/>
    </row>
    <row r="80" spans="1:19" ht="15" customHeight="1" x14ac:dyDescent="0.2">
      <c r="A80" s="72" t="str">
        <f>SUBSTITUTE(SUBSTITUTE(魚類月份!B80,CHAR(13),","),CHAR(10),",")</f>
        <v>雀鱔,Gar</v>
      </c>
      <c r="B80" s="63">
        <v>4800</v>
      </c>
      <c r="C80" s="74">
        <f>B80/0.8</f>
        <v>6000</v>
      </c>
      <c r="D80" s="75" t="s">
        <v>203</v>
      </c>
      <c r="E80" s="76" t="s">
        <v>206</v>
      </c>
      <c r="F80" s="32" t="s">
        <v>184</v>
      </c>
      <c r="G80" s="33" cm="1">
        <f t="array" ref="G80">fc(魚類月份!H80)</f>
        <v>0</v>
      </c>
      <c r="H80" s="33" cm="1">
        <f t="array" ref="H80">fc(魚類月份!I80)</f>
        <v>0</v>
      </c>
      <c r="I80" s="33" cm="1">
        <f t="array" ref="I80">fc(魚類月份!J80)</f>
        <v>0</v>
      </c>
      <c r="J80" s="33" cm="1">
        <f t="array" ref="J80">fc(魚類月份!K80)</f>
        <v>0</v>
      </c>
      <c r="K80" s="33" cm="1">
        <f t="array" ref="K80">fc(魚類月份!L80)</f>
        <v>0</v>
      </c>
      <c r="L80" s="33" cm="1">
        <f t="array" ref="L80">fc(魚類月份!M80)</f>
        <v>1</v>
      </c>
      <c r="M80" s="33" cm="1">
        <f t="array" ref="M80">fc(魚類月份!N80)</f>
        <v>1</v>
      </c>
      <c r="N80" s="33" cm="1">
        <f t="array" ref="N80">fc(魚類月份!O80)</f>
        <v>1</v>
      </c>
      <c r="O80" s="33" cm="1">
        <f t="array" ref="O80">fc(魚類月份!P80)</f>
        <v>1</v>
      </c>
      <c r="P80" s="33" cm="1">
        <f t="array" ref="P80">fc(魚類月份!Q80)</f>
        <v>0</v>
      </c>
      <c r="Q80" s="33" cm="1">
        <f t="array" ref="Q80">fc(魚類月份!R80)</f>
        <v>0</v>
      </c>
      <c r="R80" s="33" cm="1">
        <f t="array" ref="R80">fc(魚類月份!S80)</f>
        <v>0</v>
      </c>
      <c r="S80" s="63" t="s">
        <v>202</v>
      </c>
    </row>
    <row r="81" spans="1:19" x14ac:dyDescent="0.2">
      <c r="A81" s="73"/>
      <c r="B81" s="63"/>
      <c r="C81" s="74"/>
      <c r="D81" s="75"/>
      <c r="E81" s="76"/>
      <c r="F81" s="35" t="s">
        <v>198</v>
      </c>
      <c r="G81" s="33" cm="1">
        <f t="array" ref="G81">fc(魚類月份!H81)</f>
        <v>1</v>
      </c>
      <c r="H81" s="33" cm="1">
        <f t="array" ref="H81">fc(魚類月份!I81)</f>
        <v>1</v>
      </c>
      <c r="I81" s="33" cm="1">
        <f t="array" ref="I81">fc(魚類月份!J81)</f>
        <v>1</v>
      </c>
      <c r="J81" s="33" cm="1">
        <f t="array" ref="J81">fc(魚類月份!K81)</f>
        <v>0</v>
      </c>
      <c r="K81" s="33" cm="1">
        <f t="array" ref="K81">fc(魚類月份!L81)</f>
        <v>0</v>
      </c>
      <c r="L81" s="33" cm="1">
        <f t="array" ref="L81">fc(魚類月份!M81)</f>
        <v>0</v>
      </c>
      <c r="M81" s="33" cm="1">
        <f t="array" ref="M81">fc(魚類月份!N81)</f>
        <v>0</v>
      </c>
      <c r="N81" s="33" cm="1">
        <f t="array" ref="N81">fc(魚類月份!O81)</f>
        <v>0</v>
      </c>
      <c r="O81" s="33" cm="1">
        <f t="array" ref="O81">fc(魚類月份!P81)</f>
        <v>0</v>
      </c>
      <c r="P81" s="33" cm="1">
        <f t="array" ref="P81">fc(魚類月份!Q81)</f>
        <v>0</v>
      </c>
      <c r="Q81" s="33" cm="1">
        <f t="array" ref="Q81">fc(魚類月份!R81)</f>
        <v>0</v>
      </c>
      <c r="R81" s="33" cm="1">
        <f t="array" ref="R81">fc(魚類月份!S81)</f>
        <v>1</v>
      </c>
      <c r="S81" s="63"/>
    </row>
    <row r="82" spans="1:19" ht="15" customHeight="1" x14ac:dyDescent="0.2">
      <c r="A82" s="72" t="str">
        <f>SUBSTITUTE(SUBSTITUTE(魚類月份!B82,CHAR(13),","),CHAR(10),",")</f>
        <v>巨骨舌魚,Arapaima</v>
      </c>
      <c r="B82" s="68">
        <v>8000</v>
      </c>
      <c r="C82" s="69">
        <f>B82/0.8</f>
        <v>10000</v>
      </c>
      <c r="D82" s="70" t="s">
        <v>182</v>
      </c>
      <c r="E82" s="71" t="s">
        <v>211</v>
      </c>
      <c r="F82" s="37" t="s">
        <v>184</v>
      </c>
      <c r="G82" s="33" cm="1">
        <f t="array" ref="G82">fc(魚類月份!H82)</f>
        <v>0</v>
      </c>
      <c r="H82" s="33" cm="1">
        <f t="array" ref="H82">fc(魚類月份!I82)</f>
        <v>0</v>
      </c>
      <c r="I82" s="33" cm="1">
        <f t="array" ref="I82">fc(魚類月份!J82)</f>
        <v>0</v>
      </c>
      <c r="J82" s="33" cm="1">
        <f t="array" ref="J82">fc(魚類月份!K82)</f>
        <v>0</v>
      </c>
      <c r="K82" s="33" cm="1">
        <f t="array" ref="K82">fc(魚類月份!L82)</f>
        <v>0</v>
      </c>
      <c r="L82" s="33" cm="1">
        <f t="array" ref="L82">fc(魚類月份!M82)</f>
        <v>1</v>
      </c>
      <c r="M82" s="33" cm="1">
        <f t="array" ref="M82">fc(魚類月份!N82)</f>
        <v>1</v>
      </c>
      <c r="N82" s="33" cm="1">
        <f t="array" ref="N82">fc(魚類月份!O82)</f>
        <v>1</v>
      </c>
      <c r="O82" s="33" cm="1">
        <f t="array" ref="O82">fc(魚類月份!P82)</f>
        <v>1</v>
      </c>
      <c r="P82" s="33" cm="1">
        <f t="array" ref="P82">fc(魚類月份!Q82)</f>
        <v>0</v>
      </c>
      <c r="Q82" s="33" cm="1">
        <f t="array" ref="Q82">fc(魚類月份!R82)</f>
        <v>0</v>
      </c>
      <c r="R82" s="33" cm="1">
        <f t="array" ref="R82">fc(魚類月份!S82)</f>
        <v>0</v>
      </c>
      <c r="S82" s="68" t="s">
        <v>202</v>
      </c>
    </row>
    <row r="83" spans="1:19" x14ac:dyDescent="0.2">
      <c r="A83" s="73"/>
      <c r="B83" s="68"/>
      <c r="C83" s="69"/>
      <c r="D83" s="70"/>
      <c r="E83" s="71"/>
      <c r="F83" s="39" t="s">
        <v>198</v>
      </c>
      <c r="G83" s="33" cm="1">
        <f t="array" ref="G83">fc(魚類月份!H83)</f>
        <v>1</v>
      </c>
      <c r="H83" s="33" cm="1">
        <f t="array" ref="H83">fc(魚類月份!I83)</f>
        <v>1</v>
      </c>
      <c r="I83" s="33" cm="1">
        <f t="array" ref="I83">fc(魚類月份!J83)</f>
        <v>1</v>
      </c>
      <c r="J83" s="33" cm="1">
        <f t="array" ref="J83">fc(魚類月份!K83)</f>
        <v>0</v>
      </c>
      <c r="K83" s="33" cm="1">
        <f t="array" ref="K83">fc(魚類月份!L83)</f>
        <v>0</v>
      </c>
      <c r="L83" s="33" cm="1">
        <f t="array" ref="L83">fc(魚類月份!M83)</f>
        <v>0</v>
      </c>
      <c r="M83" s="33" cm="1">
        <f t="array" ref="M83">fc(魚類月份!N83)</f>
        <v>0</v>
      </c>
      <c r="N83" s="33" cm="1">
        <f t="array" ref="N83">fc(魚類月份!O83)</f>
        <v>0</v>
      </c>
      <c r="O83" s="33" cm="1">
        <f t="array" ref="O83">fc(魚類月份!P83)</f>
        <v>0</v>
      </c>
      <c r="P83" s="33" cm="1">
        <f t="array" ref="P83">fc(魚類月份!Q83)</f>
        <v>0</v>
      </c>
      <c r="Q83" s="33" cm="1">
        <f t="array" ref="Q83">fc(魚類月份!R83)</f>
        <v>0</v>
      </c>
      <c r="R83" s="33" cm="1">
        <f t="array" ref="R83">fc(魚類月份!S83)</f>
        <v>1</v>
      </c>
      <c r="S83" s="68"/>
    </row>
    <row r="84" spans="1:19" ht="15" customHeight="1" x14ac:dyDescent="0.2">
      <c r="A84" s="72" t="str">
        <f>SUBSTITUTE(SUBSTITUTE(魚類月份!B84,CHAR(13),","),CHAR(10),",")</f>
        <v>恩氏多鰭魚,Saddled bichir</v>
      </c>
      <c r="B84" s="63">
        <v>3200</v>
      </c>
      <c r="C84" s="74">
        <f>B84/0.8</f>
        <v>4000</v>
      </c>
      <c r="D84" s="75" t="s">
        <v>182</v>
      </c>
      <c r="E84" s="76" t="s">
        <v>204</v>
      </c>
      <c r="F84" s="32" t="s">
        <v>184</v>
      </c>
      <c r="G84" s="33" cm="1">
        <f t="array" ref="G84">fc(魚類月份!H84)</f>
        <v>0</v>
      </c>
      <c r="H84" s="33" cm="1">
        <f t="array" ref="H84">fc(魚類月份!I84)</f>
        <v>0</v>
      </c>
      <c r="I84" s="33" cm="1">
        <f t="array" ref="I84">fc(魚類月份!J84)</f>
        <v>0</v>
      </c>
      <c r="J84" s="33" cm="1">
        <f t="array" ref="J84">fc(魚類月份!K84)</f>
        <v>0</v>
      </c>
      <c r="K84" s="33" cm="1">
        <f t="array" ref="K84">fc(魚類月份!L84)</f>
        <v>0</v>
      </c>
      <c r="L84" s="33" cm="1">
        <f t="array" ref="L84">fc(魚類月份!M84)</f>
        <v>1</v>
      </c>
      <c r="M84" s="33" cm="1">
        <f t="array" ref="M84">fc(魚類月份!N84)</f>
        <v>1</v>
      </c>
      <c r="N84" s="33" cm="1">
        <f t="array" ref="N84">fc(魚類月份!O84)</f>
        <v>1</v>
      </c>
      <c r="O84" s="33" cm="1">
        <f t="array" ref="O84">fc(魚類月份!P84)</f>
        <v>1</v>
      </c>
      <c r="P84" s="33" cm="1">
        <f t="array" ref="P84">fc(魚類月份!Q84)</f>
        <v>0</v>
      </c>
      <c r="Q84" s="33" cm="1">
        <f t="array" ref="Q84">fc(魚類月份!R84)</f>
        <v>0</v>
      </c>
      <c r="R84" s="33" cm="1">
        <f t="array" ref="R84">fc(魚類月份!S84)</f>
        <v>0</v>
      </c>
      <c r="S84" s="63" t="s">
        <v>205</v>
      </c>
    </row>
    <row r="85" spans="1:19" x14ac:dyDescent="0.2">
      <c r="A85" s="73"/>
      <c r="B85" s="63"/>
      <c r="C85" s="74"/>
      <c r="D85" s="75"/>
      <c r="E85" s="76"/>
      <c r="F85" s="35" t="s">
        <v>198</v>
      </c>
      <c r="G85" s="33" cm="1">
        <f t="array" ref="G85">fc(魚類月份!H85)</f>
        <v>1</v>
      </c>
      <c r="H85" s="33" cm="1">
        <f t="array" ref="H85">fc(魚類月份!I85)</f>
        <v>1</v>
      </c>
      <c r="I85" s="33" cm="1">
        <f t="array" ref="I85">fc(魚類月份!J85)</f>
        <v>1</v>
      </c>
      <c r="J85" s="33" cm="1">
        <f t="array" ref="J85">fc(魚類月份!K85)</f>
        <v>0</v>
      </c>
      <c r="K85" s="33" cm="1">
        <f t="array" ref="K85">fc(魚類月份!L85)</f>
        <v>0</v>
      </c>
      <c r="L85" s="33" cm="1">
        <f t="array" ref="L85">fc(魚類月份!M85)</f>
        <v>0</v>
      </c>
      <c r="M85" s="33" cm="1">
        <f t="array" ref="M85">fc(魚類月份!N85)</f>
        <v>0</v>
      </c>
      <c r="N85" s="33" cm="1">
        <f t="array" ref="N85">fc(魚類月份!O85)</f>
        <v>0</v>
      </c>
      <c r="O85" s="33" cm="1">
        <f t="array" ref="O85">fc(魚類月份!P85)</f>
        <v>0</v>
      </c>
      <c r="P85" s="33" cm="1">
        <f t="array" ref="P85">fc(魚類月份!Q85)</f>
        <v>0</v>
      </c>
      <c r="Q85" s="33" cm="1">
        <f t="array" ref="Q85">fc(魚類月份!R85)</f>
        <v>0</v>
      </c>
      <c r="R85" s="33" cm="1">
        <f t="array" ref="R85">fc(魚類月份!S85)</f>
        <v>1</v>
      </c>
      <c r="S85" s="63"/>
    </row>
    <row r="86" spans="1:19" ht="15" customHeight="1" x14ac:dyDescent="0.2">
      <c r="A86" s="72" t="str">
        <f>SUBSTITUTE(SUBSTITUTE(魚類月份!B86,CHAR(13),","),CHAR(10),",")</f>
        <v>鱘魚,Sturgeon</v>
      </c>
      <c r="B86" s="68">
        <v>8000</v>
      </c>
      <c r="C86" s="69">
        <f>B86/0.8</f>
        <v>10000</v>
      </c>
      <c r="D86" s="70" t="s">
        <v>208</v>
      </c>
      <c r="E86" s="71" t="s">
        <v>211</v>
      </c>
      <c r="F86" s="37" t="s">
        <v>184</v>
      </c>
      <c r="G86" s="33" cm="1">
        <f t="array" ref="G86">fc(魚類月份!H86)</f>
        <v>1</v>
      </c>
      <c r="H86" s="33" cm="1">
        <f t="array" ref="H86">fc(魚類月份!I86)</f>
        <v>1</v>
      </c>
      <c r="I86" s="33" cm="1">
        <f t="array" ref="I86">fc(魚類月份!J86)</f>
        <v>1</v>
      </c>
      <c r="J86" s="33" cm="1">
        <f t="array" ref="J86">fc(魚類月份!K86)</f>
        <v>0</v>
      </c>
      <c r="K86" s="33" cm="1">
        <f t="array" ref="K86">fc(魚類月份!L86)</f>
        <v>0</v>
      </c>
      <c r="L86" s="33" cm="1">
        <f t="array" ref="L86">fc(魚類月份!M86)</f>
        <v>0</v>
      </c>
      <c r="M86" s="33" cm="1">
        <f t="array" ref="M86">fc(魚類月份!N86)</f>
        <v>0</v>
      </c>
      <c r="N86" s="33" cm="1">
        <f t="array" ref="N86">fc(魚類月份!O86)</f>
        <v>0</v>
      </c>
      <c r="O86" s="33" cm="1">
        <f t="array" ref="O86">fc(魚類月份!P86)</f>
        <v>1</v>
      </c>
      <c r="P86" s="33" cm="1">
        <f t="array" ref="P86">fc(魚類月份!Q86)</f>
        <v>1</v>
      </c>
      <c r="Q86" s="33" cm="1">
        <f t="array" ref="Q86">fc(魚類月份!R86)</f>
        <v>1</v>
      </c>
      <c r="R86" s="33" cm="1">
        <f t="array" ref="R86">fc(魚類月份!S86)</f>
        <v>1</v>
      </c>
      <c r="S86" s="68" t="s">
        <v>197</v>
      </c>
    </row>
    <row r="87" spans="1:19" x14ac:dyDescent="0.2">
      <c r="A87" s="73"/>
      <c r="B87" s="68"/>
      <c r="C87" s="69"/>
      <c r="D87" s="70"/>
      <c r="E87" s="71"/>
      <c r="F87" s="39" t="s">
        <v>198</v>
      </c>
      <c r="G87" s="33" cm="1">
        <f t="array" ref="G87">fc(魚類月份!H87)</f>
        <v>0</v>
      </c>
      <c r="H87" s="33" cm="1">
        <f t="array" ref="H87">fc(魚類月份!I87)</f>
        <v>0</v>
      </c>
      <c r="I87" s="33" cm="1">
        <f t="array" ref="I87">fc(魚類月份!J87)</f>
        <v>1</v>
      </c>
      <c r="J87" s="33" cm="1">
        <f t="array" ref="J87">fc(魚類月份!K87)</f>
        <v>1</v>
      </c>
      <c r="K87" s="33" cm="1">
        <f t="array" ref="K87">fc(魚類月份!L87)</f>
        <v>1</v>
      </c>
      <c r="L87" s="33" cm="1">
        <f t="array" ref="L87">fc(魚類月份!M87)</f>
        <v>1</v>
      </c>
      <c r="M87" s="33" cm="1">
        <f t="array" ref="M87">fc(魚類月份!N87)</f>
        <v>1</v>
      </c>
      <c r="N87" s="33" cm="1">
        <f t="array" ref="N87">fc(魚類月份!O87)</f>
        <v>1</v>
      </c>
      <c r="O87" s="33" cm="1">
        <f t="array" ref="O87">fc(魚類月份!P87)</f>
        <v>1</v>
      </c>
      <c r="P87" s="33" cm="1">
        <f t="array" ref="P87">fc(魚類月份!Q87)</f>
        <v>0</v>
      </c>
      <c r="Q87" s="33" cm="1">
        <f t="array" ref="Q87">fc(魚類月份!R87)</f>
        <v>0</v>
      </c>
      <c r="R87" s="33" cm="1">
        <f t="array" ref="R87">fc(魚類月份!S87)</f>
        <v>0</v>
      </c>
      <c r="S87" s="68"/>
    </row>
    <row r="88" spans="1:19" ht="15" customHeight="1" x14ac:dyDescent="0.2">
      <c r="A88" s="72" t="str">
        <f>SUBSTITUTE(SUBSTITUTE(魚類月份!B88,CHAR(13),","),CHAR(10),",")</f>
        <v>海天使,Sea butterfly</v>
      </c>
      <c r="B88" s="63">
        <v>800</v>
      </c>
      <c r="C88" s="74">
        <f>B88/0.8</f>
        <v>1000</v>
      </c>
      <c r="D88" s="75" t="s">
        <v>212</v>
      </c>
      <c r="E88" s="76" t="s">
        <v>183</v>
      </c>
      <c r="F88" s="32" t="s">
        <v>184</v>
      </c>
      <c r="G88" s="33" cm="1">
        <f t="array" ref="G88">fc(魚類月份!H88)</f>
        <v>1</v>
      </c>
      <c r="H88" s="33" cm="1">
        <f t="array" ref="H88">fc(魚類月份!I88)</f>
        <v>1</v>
      </c>
      <c r="I88" s="33" cm="1">
        <f t="array" ref="I88">fc(魚類月份!J88)</f>
        <v>1</v>
      </c>
      <c r="J88" s="33" cm="1">
        <f t="array" ref="J88">fc(魚類月份!K88)</f>
        <v>0</v>
      </c>
      <c r="K88" s="33" cm="1">
        <f t="array" ref="K88">fc(魚類月份!L88)</f>
        <v>0</v>
      </c>
      <c r="L88" s="33" cm="1">
        <f t="array" ref="L88">fc(魚類月份!M88)</f>
        <v>0</v>
      </c>
      <c r="M88" s="33" cm="1">
        <f t="array" ref="M88">fc(魚類月份!N88)</f>
        <v>0</v>
      </c>
      <c r="N88" s="33" cm="1">
        <f t="array" ref="N88">fc(魚類月份!O88)</f>
        <v>0</v>
      </c>
      <c r="O88" s="33" cm="1">
        <f t="array" ref="O88">fc(魚類月份!P88)</f>
        <v>0</v>
      </c>
      <c r="P88" s="33" cm="1">
        <f t="array" ref="P88">fc(魚類月份!Q88)</f>
        <v>0</v>
      </c>
      <c r="Q88" s="33" cm="1">
        <f t="array" ref="Q88">fc(魚類月份!R88)</f>
        <v>0</v>
      </c>
      <c r="R88" s="33" cm="1">
        <f t="array" ref="R88">fc(魚類月份!S88)</f>
        <v>1</v>
      </c>
      <c r="S88" s="63" t="s">
        <v>197</v>
      </c>
    </row>
    <row r="89" spans="1:19" x14ac:dyDescent="0.2">
      <c r="A89" s="73"/>
      <c r="B89" s="63"/>
      <c r="C89" s="74"/>
      <c r="D89" s="75"/>
      <c r="E89" s="76"/>
      <c r="F89" s="35" t="s">
        <v>198</v>
      </c>
      <c r="G89" s="33" cm="1">
        <f t="array" ref="G89">fc(魚類月份!H89)</f>
        <v>0</v>
      </c>
      <c r="H89" s="33" cm="1">
        <f t="array" ref="H89">fc(魚類月份!I89)</f>
        <v>0</v>
      </c>
      <c r="I89" s="33" cm="1">
        <f t="array" ref="I89">fc(魚類月份!J89)</f>
        <v>0</v>
      </c>
      <c r="J89" s="33" cm="1">
        <f t="array" ref="J89">fc(魚類月份!K89)</f>
        <v>0</v>
      </c>
      <c r="K89" s="33" cm="1">
        <f t="array" ref="K89">fc(魚類月份!L89)</f>
        <v>0</v>
      </c>
      <c r="L89" s="33" cm="1">
        <f t="array" ref="L89">fc(魚類月份!M89)</f>
        <v>1</v>
      </c>
      <c r="M89" s="33" cm="1">
        <f t="array" ref="M89">fc(魚類月份!N89)</f>
        <v>1</v>
      </c>
      <c r="N89" s="33" cm="1">
        <f t="array" ref="N89">fc(魚類月份!O89)</f>
        <v>1</v>
      </c>
      <c r="O89" s="33" cm="1">
        <f t="array" ref="O89">fc(魚類月份!P89)</f>
        <v>1</v>
      </c>
      <c r="P89" s="33" cm="1">
        <f t="array" ref="P89">fc(魚類月份!Q89)</f>
        <v>0</v>
      </c>
      <c r="Q89" s="33" cm="1">
        <f t="array" ref="Q89">fc(魚類月份!R89)</f>
        <v>0</v>
      </c>
      <c r="R89" s="33" cm="1">
        <f t="array" ref="R89">fc(魚類月份!S89)</f>
        <v>0</v>
      </c>
      <c r="S89" s="63"/>
    </row>
    <row r="90" spans="1:19" ht="15" customHeight="1" x14ac:dyDescent="0.2">
      <c r="A90" s="72" t="str">
        <f>SUBSTITUTE(SUBSTITUTE(魚類月份!B90,CHAR(13),","),CHAR(10),",")</f>
        <v>海馬,Seahorse</v>
      </c>
      <c r="B90" s="68">
        <v>880</v>
      </c>
      <c r="C90" s="69">
        <f>B90/0.8</f>
        <v>1100</v>
      </c>
      <c r="D90" s="70" t="s">
        <v>212</v>
      </c>
      <c r="E90" s="71" t="s">
        <v>183</v>
      </c>
      <c r="F90" s="37" t="s">
        <v>184</v>
      </c>
      <c r="G90" s="33" cm="1">
        <f t="array" ref="G90">fc(魚類月份!H90)</f>
        <v>0</v>
      </c>
      <c r="H90" s="33" cm="1">
        <f t="array" ref="H90">fc(魚類月份!I90)</f>
        <v>0</v>
      </c>
      <c r="I90" s="33" cm="1">
        <f t="array" ref="I90">fc(魚類月份!J90)</f>
        <v>0</v>
      </c>
      <c r="J90" s="33" cm="1">
        <f t="array" ref="J90">fc(魚類月份!K90)</f>
        <v>1</v>
      </c>
      <c r="K90" s="33" cm="1">
        <f t="array" ref="K90">fc(魚類月份!L90)</f>
        <v>1</v>
      </c>
      <c r="L90" s="33" cm="1">
        <f t="array" ref="L90">fc(魚類月份!M90)</f>
        <v>1</v>
      </c>
      <c r="M90" s="33" cm="1">
        <f t="array" ref="M90">fc(魚類月份!N90)</f>
        <v>1</v>
      </c>
      <c r="N90" s="33" cm="1">
        <f t="array" ref="N90">fc(魚類月份!O90)</f>
        <v>1</v>
      </c>
      <c r="O90" s="33" cm="1">
        <f t="array" ref="O90">fc(魚類月份!P90)</f>
        <v>1</v>
      </c>
      <c r="P90" s="33" cm="1">
        <f t="array" ref="P90">fc(魚類月份!Q90)</f>
        <v>1</v>
      </c>
      <c r="Q90" s="33" cm="1">
        <f t="array" ref="Q90">fc(魚類月份!R90)</f>
        <v>1</v>
      </c>
      <c r="R90" s="33" cm="1">
        <f t="array" ref="R90">fc(魚類月份!S90)</f>
        <v>0</v>
      </c>
      <c r="S90" s="68" t="s">
        <v>197</v>
      </c>
    </row>
    <row r="91" spans="1:19" x14ac:dyDescent="0.2">
      <c r="A91" s="73"/>
      <c r="B91" s="68"/>
      <c r="C91" s="69"/>
      <c r="D91" s="70"/>
      <c r="E91" s="71"/>
      <c r="F91" s="39" t="s">
        <v>198</v>
      </c>
      <c r="G91" s="33" cm="1">
        <f t="array" ref="G91">fc(魚類月份!H91)</f>
        <v>1</v>
      </c>
      <c r="H91" s="33" cm="1">
        <f t="array" ref="H91">fc(魚類月份!I91)</f>
        <v>1</v>
      </c>
      <c r="I91" s="33" cm="1">
        <f t="array" ref="I91">fc(魚類月份!J91)</f>
        <v>1</v>
      </c>
      <c r="J91" s="33" cm="1">
        <f t="array" ref="J91">fc(魚類月份!K91)</f>
        <v>1</v>
      </c>
      <c r="K91" s="33" cm="1">
        <f t="array" ref="K91">fc(魚類月份!L91)</f>
        <v>1</v>
      </c>
      <c r="L91" s="33" cm="1">
        <f t="array" ref="L91">fc(魚類月份!M91)</f>
        <v>0</v>
      </c>
      <c r="M91" s="33" cm="1">
        <f t="array" ref="M91">fc(魚類月份!N91)</f>
        <v>0</v>
      </c>
      <c r="N91" s="33" cm="1">
        <f t="array" ref="N91">fc(魚類月份!O91)</f>
        <v>0</v>
      </c>
      <c r="O91" s="33" cm="1">
        <f t="array" ref="O91">fc(魚類月份!P91)</f>
        <v>0</v>
      </c>
      <c r="P91" s="33" cm="1">
        <f t="array" ref="P91">fc(魚類月份!Q91)</f>
        <v>1</v>
      </c>
      <c r="Q91" s="33" cm="1">
        <f t="array" ref="Q91">fc(魚類月份!R91)</f>
        <v>1</v>
      </c>
      <c r="R91" s="33" cm="1">
        <f t="array" ref="R91">fc(魚類月份!S91)</f>
        <v>1</v>
      </c>
      <c r="S91" s="68"/>
    </row>
    <row r="92" spans="1:19" ht="15" customHeight="1" x14ac:dyDescent="0.2">
      <c r="A92" s="72" t="str">
        <f>SUBSTITUTE(SUBSTITUTE(魚類月份!B92,CHAR(13),","),CHAR(10),",")</f>
        <v>小丑魚,Clownfish</v>
      </c>
      <c r="B92" s="63">
        <v>520</v>
      </c>
      <c r="C92" s="74">
        <f>B92/0.8</f>
        <v>650</v>
      </c>
      <c r="D92" s="75" t="s">
        <v>212</v>
      </c>
      <c r="E92" s="76" t="s">
        <v>183</v>
      </c>
      <c r="F92" s="32" t="s">
        <v>184</v>
      </c>
      <c r="G92" s="33" cm="1">
        <f t="array" ref="G92">fc(魚類月份!H92)</f>
        <v>0</v>
      </c>
      <c r="H92" s="33" cm="1">
        <f t="array" ref="H92">fc(魚類月份!I92)</f>
        <v>0</v>
      </c>
      <c r="I92" s="33" cm="1">
        <f t="array" ref="I92">fc(魚類月份!J92)</f>
        <v>0</v>
      </c>
      <c r="J92" s="33" cm="1">
        <f t="array" ref="J92">fc(魚類月份!K92)</f>
        <v>1</v>
      </c>
      <c r="K92" s="33" cm="1">
        <f t="array" ref="K92">fc(魚類月份!L92)</f>
        <v>1</v>
      </c>
      <c r="L92" s="33" cm="1">
        <f t="array" ref="L92">fc(魚類月份!M92)</f>
        <v>1</v>
      </c>
      <c r="M92" s="33" cm="1">
        <f t="array" ref="M92">fc(魚類月份!N92)</f>
        <v>1</v>
      </c>
      <c r="N92" s="33" cm="1">
        <f t="array" ref="N92">fc(魚類月份!O92)</f>
        <v>1</v>
      </c>
      <c r="O92" s="33" cm="1">
        <f t="array" ref="O92">fc(魚類月份!P92)</f>
        <v>1</v>
      </c>
      <c r="P92" s="33" cm="1">
        <f t="array" ref="P92">fc(魚類月份!Q92)</f>
        <v>0</v>
      </c>
      <c r="Q92" s="33" cm="1">
        <f t="array" ref="Q92">fc(魚類月份!R92)</f>
        <v>0</v>
      </c>
      <c r="R92" s="33" cm="1">
        <f t="array" ref="R92">fc(魚類月份!S92)</f>
        <v>0</v>
      </c>
      <c r="S92" s="63" t="s">
        <v>197</v>
      </c>
    </row>
    <row r="93" spans="1:19" x14ac:dyDescent="0.2">
      <c r="A93" s="73"/>
      <c r="B93" s="63"/>
      <c r="C93" s="74"/>
      <c r="D93" s="75"/>
      <c r="E93" s="76"/>
      <c r="F93" s="35" t="s">
        <v>198</v>
      </c>
      <c r="G93" s="33" cm="1">
        <f t="array" ref="G93">fc(魚類月份!H93)</f>
        <v>1</v>
      </c>
      <c r="H93" s="33" cm="1">
        <f t="array" ref="H93">fc(魚類月份!I93)</f>
        <v>1</v>
      </c>
      <c r="I93" s="33" cm="1">
        <f t="array" ref="I93">fc(魚類月份!J93)</f>
        <v>1</v>
      </c>
      <c r="J93" s="33" cm="1">
        <f t="array" ref="J93">fc(魚類月份!K93)</f>
        <v>0</v>
      </c>
      <c r="K93" s="33" cm="1">
        <f t="array" ref="K93">fc(魚類月份!L93)</f>
        <v>0</v>
      </c>
      <c r="L93" s="33" cm="1">
        <f t="array" ref="L93">fc(魚類月份!M93)</f>
        <v>0</v>
      </c>
      <c r="M93" s="33" cm="1">
        <f t="array" ref="M93">fc(魚類月份!N93)</f>
        <v>0</v>
      </c>
      <c r="N93" s="33" cm="1">
        <f t="array" ref="N93">fc(魚類月份!O93)</f>
        <v>0</v>
      </c>
      <c r="O93" s="33" cm="1">
        <f t="array" ref="O93">fc(魚類月份!P93)</f>
        <v>0</v>
      </c>
      <c r="P93" s="33" cm="1">
        <f t="array" ref="P93">fc(魚類月份!Q93)</f>
        <v>1</v>
      </c>
      <c r="Q93" s="33" cm="1">
        <f t="array" ref="Q93">fc(魚類月份!R93)</f>
        <v>1</v>
      </c>
      <c r="R93" s="33" cm="1">
        <f t="array" ref="R93">fc(魚類月份!S93)</f>
        <v>1</v>
      </c>
      <c r="S93" s="63"/>
    </row>
    <row r="94" spans="1:19" ht="15" customHeight="1" x14ac:dyDescent="0.2">
      <c r="A94" s="72" t="str">
        <f>SUBSTITUTE(SUBSTITUTE(魚類月份!B94,CHAR(13),","),CHAR(10),",")</f>
        <v>擬刺尾鯛,Surgeonfish</v>
      </c>
      <c r="B94" s="68">
        <v>800</v>
      </c>
      <c r="C94" s="69">
        <f>B94/0.8</f>
        <v>1000</v>
      </c>
      <c r="D94" s="70" t="s">
        <v>212</v>
      </c>
      <c r="E94" s="71" t="s">
        <v>200</v>
      </c>
      <c r="F94" s="37" t="s">
        <v>184</v>
      </c>
      <c r="G94" s="33" cm="1">
        <f t="array" ref="G94">fc(魚類月份!H94)</f>
        <v>0</v>
      </c>
      <c r="H94" s="33" cm="1">
        <f t="array" ref="H94">fc(魚類月份!I94)</f>
        <v>0</v>
      </c>
      <c r="I94" s="33" cm="1">
        <f t="array" ref="I94">fc(魚類月份!J94)</f>
        <v>0</v>
      </c>
      <c r="J94" s="33" cm="1">
        <f t="array" ref="J94">fc(魚類月份!K94)</f>
        <v>1</v>
      </c>
      <c r="K94" s="33" cm="1">
        <f t="array" ref="K94">fc(魚類月份!L94)</f>
        <v>1</v>
      </c>
      <c r="L94" s="33" cm="1">
        <f t="array" ref="L94">fc(魚類月份!M94)</f>
        <v>1</v>
      </c>
      <c r="M94" s="33" cm="1">
        <f t="array" ref="M94">fc(魚類月份!N94)</f>
        <v>1</v>
      </c>
      <c r="N94" s="33" cm="1">
        <f t="array" ref="N94">fc(魚類月份!O94)</f>
        <v>1</v>
      </c>
      <c r="O94" s="33" cm="1">
        <f t="array" ref="O94">fc(魚類月份!P94)</f>
        <v>1</v>
      </c>
      <c r="P94" s="33" cm="1">
        <f t="array" ref="P94">fc(魚類月份!Q94)</f>
        <v>0</v>
      </c>
      <c r="Q94" s="33" cm="1">
        <f t="array" ref="Q94">fc(魚類月份!R94)</f>
        <v>0</v>
      </c>
      <c r="R94" s="33" cm="1">
        <f t="array" ref="R94">fc(魚類月份!S94)</f>
        <v>0</v>
      </c>
      <c r="S94" s="68" t="s">
        <v>197</v>
      </c>
    </row>
    <row r="95" spans="1:19" x14ac:dyDescent="0.2">
      <c r="A95" s="73"/>
      <c r="B95" s="68"/>
      <c r="C95" s="69"/>
      <c r="D95" s="70"/>
      <c r="E95" s="71"/>
      <c r="F95" s="39" t="s">
        <v>198</v>
      </c>
      <c r="G95" s="33" cm="1">
        <f t="array" ref="G95">fc(魚類月份!H95)</f>
        <v>1</v>
      </c>
      <c r="H95" s="33" cm="1">
        <f t="array" ref="H95">fc(魚類月份!I95)</f>
        <v>1</v>
      </c>
      <c r="I95" s="33" cm="1">
        <f t="array" ref="I95">fc(魚類月份!J95)</f>
        <v>1</v>
      </c>
      <c r="J95" s="33" cm="1">
        <f t="array" ref="J95">fc(魚類月份!K95)</f>
        <v>0</v>
      </c>
      <c r="K95" s="33" cm="1">
        <f t="array" ref="K95">fc(魚類月份!L95)</f>
        <v>0</v>
      </c>
      <c r="L95" s="33" cm="1">
        <f t="array" ref="L95">fc(魚類月份!M95)</f>
        <v>0</v>
      </c>
      <c r="M95" s="33" cm="1">
        <f t="array" ref="M95">fc(魚類月份!N95)</f>
        <v>0</v>
      </c>
      <c r="N95" s="33" cm="1">
        <f t="array" ref="N95">fc(魚類月份!O95)</f>
        <v>0</v>
      </c>
      <c r="O95" s="33" cm="1">
        <f t="array" ref="O95">fc(魚類月份!P95)</f>
        <v>0</v>
      </c>
      <c r="P95" s="33" cm="1">
        <f t="array" ref="P95">fc(魚類月份!Q95)</f>
        <v>1</v>
      </c>
      <c r="Q95" s="33" cm="1">
        <f t="array" ref="Q95">fc(魚類月份!R95)</f>
        <v>1</v>
      </c>
      <c r="R95" s="33" cm="1">
        <f t="array" ref="R95">fc(魚類月份!S95)</f>
        <v>1</v>
      </c>
      <c r="S95" s="68"/>
    </row>
    <row r="96" spans="1:19" ht="15" customHeight="1" x14ac:dyDescent="0.2">
      <c r="A96" s="72" t="str">
        <f>SUBSTITUTE(SUBSTITUTE(魚類月份!B96,CHAR(13),","),CHAR(10),",")</f>
        <v>耳帶蝴蝶魚,Butterfly fish</v>
      </c>
      <c r="B96" s="63">
        <v>800</v>
      </c>
      <c r="C96" s="74">
        <f>B96/0.8</f>
        <v>1000</v>
      </c>
      <c r="D96" s="75" t="s">
        <v>212</v>
      </c>
      <c r="E96" s="76" t="s">
        <v>200</v>
      </c>
      <c r="F96" s="32" t="s">
        <v>184</v>
      </c>
      <c r="G96" s="33" cm="1">
        <f t="array" ref="G96">fc(魚類月份!H96)</f>
        <v>0</v>
      </c>
      <c r="H96" s="33" cm="1">
        <f t="array" ref="H96">fc(魚類月份!I96)</f>
        <v>0</v>
      </c>
      <c r="I96" s="33" cm="1">
        <f t="array" ref="I96">fc(魚類月份!J96)</f>
        <v>0</v>
      </c>
      <c r="J96" s="33" cm="1">
        <f t="array" ref="J96">fc(魚類月份!K96)</f>
        <v>1</v>
      </c>
      <c r="K96" s="33" cm="1">
        <f t="array" ref="K96">fc(魚類月份!L96)</f>
        <v>1</v>
      </c>
      <c r="L96" s="33" cm="1">
        <f t="array" ref="L96">fc(魚類月份!M96)</f>
        <v>1</v>
      </c>
      <c r="M96" s="33" cm="1">
        <f t="array" ref="M96">fc(魚類月份!N96)</f>
        <v>1</v>
      </c>
      <c r="N96" s="33" cm="1">
        <f t="array" ref="N96">fc(魚類月份!O96)</f>
        <v>1</v>
      </c>
      <c r="O96" s="33" cm="1">
        <f t="array" ref="O96">fc(魚類月份!P96)</f>
        <v>1</v>
      </c>
      <c r="P96" s="33" cm="1">
        <f t="array" ref="P96">fc(魚類月份!Q96)</f>
        <v>0</v>
      </c>
      <c r="Q96" s="33" cm="1">
        <f t="array" ref="Q96">fc(魚類月份!R96)</f>
        <v>0</v>
      </c>
      <c r="R96" s="33" cm="1">
        <f t="array" ref="R96">fc(魚類月份!S96)</f>
        <v>0</v>
      </c>
      <c r="S96" s="63" t="s">
        <v>197</v>
      </c>
    </row>
    <row r="97" spans="1:19" x14ac:dyDescent="0.2">
      <c r="A97" s="73"/>
      <c r="B97" s="63"/>
      <c r="C97" s="74"/>
      <c r="D97" s="75"/>
      <c r="E97" s="76"/>
      <c r="F97" s="35" t="s">
        <v>198</v>
      </c>
      <c r="G97" s="33" cm="1">
        <f t="array" ref="G97">fc(魚類月份!H97)</f>
        <v>1</v>
      </c>
      <c r="H97" s="33" cm="1">
        <f t="array" ref="H97">fc(魚類月份!I97)</f>
        <v>1</v>
      </c>
      <c r="I97" s="33" cm="1">
        <f t="array" ref="I97">fc(魚類月份!J97)</f>
        <v>1</v>
      </c>
      <c r="J97" s="33" cm="1">
        <f t="array" ref="J97">fc(魚類月份!K97)</f>
        <v>0</v>
      </c>
      <c r="K97" s="33" cm="1">
        <f t="array" ref="K97">fc(魚類月份!L97)</f>
        <v>0</v>
      </c>
      <c r="L97" s="33" cm="1">
        <f t="array" ref="L97">fc(魚類月份!M97)</f>
        <v>0</v>
      </c>
      <c r="M97" s="33" cm="1">
        <f t="array" ref="M97">fc(魚類月份!N97)</f>
        <v>0</v>
      </c>
      <c r="N97" s="33" cm="1">
        <f t="array" ref="N97">fc(魚類月份!O97)</f>
        <v>0</v>
      </c>
      <c r="O97" s="33" cm="1">
        <f t="array" ref="O97">fc(魚類月份!P97)</f>
        <v>0</v>
      </c>
      <c r="P97" s="33" cm="1">
        <f t="array" ref="P97">fc(魚類月份!Q97)</f>
        <v>1</v>
      </c>
      <c r="Q97" s="33" cm="1">
        <f t="array" ref="Q97">fc(魚類月份!R97)</f>
        <v>1</v>
      </c>
      <c r="R97" s="33" cm="1">
        <f t="array" ref="R97">fc(魚類月份!S97)</f>
        <v>1</v>
      </c>
      <c r="S97" s="63"/>
    </row>
    <row r="98" spans="1:19" ht="15" customHeight="1" x14ac:dyDescent="0.2">
      <c r="A98" s="72" t="str">
        <f>SUBSTITUTE(SUBSTITUTE(魚類月份!B98,CHAR(13),","),CHAR(10),",")</f>
        <v>蘇眉魚,Napoleonfish</v>
      </c>
      <c r="B98" s="68">
        <v>8000</v>
      </c>
      <c r="C98" s="69">
        <f>B98/0.8</f>
        <v>10000</v>
      </c>
      <c r="D98" s="70" t="s">
        <v>212</v>
      </c>
      <c r="E98" s="71" t="s">
        <v>211</v>
      </c>
      <c r="F98" s="37" t="s">
        <v>184</v>
      </c>
      <c r="G98" s="33" cm="1">
        <f t="array" ref="G98">fc(魚類月份!H98)</f>
        <v>0</v>
      </c>
      <c r="H98" s="33" cm="1">
        <f t="array" ref="H98">fc(魚類月份!I98)</f>
        <v>0</v>
      </c>
      <c r="I98" s="33" cm="1">
        <f t="array" ref="I98">fc(魚類月份!J98)</f>
        <v>0</v>
      </c>
      <c r="J98" s="33" cm="1">
        <f t="array" ref="J98">fc(魚類月份!K98)</f>
        <v>0</v>
      </c>
      <c r="K98" s="33" cm="1">
        <f t="array" ref="K98">fc(魚類月份!L98)</f>
        <v>0</v>
      </c>
      <c r="L98" s="33" cm="1">
        <f t="array" ref="L98">fc(魚類月份!M98)</f>
        <v>0</v>
      </c>
      <c r="M98" s="33" cm="1">
        <f t="array" ref="M98">fc(魚類月份!N98)</f>
        <v>1</v>
      </c>
      <c r="N98" s="33" cm="1">
        <f t="array" ref="N98">fc(魚類月份!O98)</f>
        <v>1</v>
      </c>
      <c r="O98" s="33" cm="1">
        <f t="array" ref="O98">fc(魚類月份!P98)</f>
        <v>0</v>
      </c>
      <c r="P98" s="33" cm="1">
        <f t="array" ref="P98">fc(魚類月份!Q98)</f>
        <v>0</v>
      </c>
      <c r="Q98" s="33" cm="1">
        <f t="array" ref="Q98">fc(魚類月份!R98)</f>
        <v>0</v>
      </c>
      <c r="R98" s="33" cm="1">
        <f t="array" ref="R98">fc(魚類月份!S98)</f>
        <v>0</v>
      </c>
      <c r="S98" s="68" t="s">
        <v>213</v>
      </c>
    </row>
    <row r="99" spans="1:19" x14ac:dyDescent="0.2">
      <c r="A99" s="73"/>
      <c r="B99" s="68"/>
      <c r="C99" s="69"/>
      <c r="D99" s="70"/>
      <c r="E99" s="71"/>
      <c r="F99" s="39" t="s">
        <v>198</v>
      </c>
      <c r="G99" s="33" cm="1">
        <f t="array" ref="G99">fc(魚類月份!H99)</f>
        <v>1</v>
      </c>
      <c r="H99" s="33" cm="1">
        <f t="array" ref="H99">fc(魚類月份!I99)</f>
        <v>1</v>
      </c>
      <c r="I99" s="33" cm="1">
        <f t="array" ref="I99">fc(魚類月份!J99)</f>
        <v>0</v>
      </c>
      <c r="J99" s="33" cm="1">
        <f t="array" ref="J99">fc(魚類月份!K99)</f>
        <v>0</v>
      </c>
      <c r="K99" s="33" cm="1">
        <f t="array" ref="K99">fc(魚類月份!L99)</f>
        <v>0</v>
      </c>
      <c r="L99" s="33" cm="1">
        <f t="array" ref="L99">fc(魚類月份!M99)</f>
        <v>0</v>
      </c>
      <c r="M99" s="33" cm="1">
        <f t="array" ref="M99">fc(魚類月份!N99)</f>
        <v>0</v>
      </c>
      <c r="N99" s="33" cm="1">
        <f t="array" ref="N99">fc(魚類月份!O99)</f>
        <v>0</v>
      </c>
      <c r="O99" s="33" cm="1">
        <f t="array" ref="O99">fc(魚類月份!P99)</f>
        <v>0</v>
      </c>
      <c r="P99" s="33" cm="1">
        <f t="array" ref="P99">fc(魚類月份!Q99)</f>
        <v>0</v>
      </c>
      <c r="Q99" s="33" cm="1">
        <f t="array" ref="Q99">fc(魚類月份!R99)</f>
        <v>0</v>
      </c>
      <c r="R99" s="33" cm="1">
        <f t="array" ref="R99">fc(魚類月份!S99)</f>
        <v>0</v>
      </c>
      <c r="S99" s="68"/>
    </row>
    <row r="100" spans="1:19" ht="15" customHeight="1" x14ac:dyDescent="0.2">
      <c r="A100" s="72" t="str">
        <f>SUBSTITUTE(SUBSTITUTE(魚類月份!B100,CHAR(13),","),CHAR(10),",")</f>
        <v>獅子魚,Zebra turkeyfish</v>
      </c>
      <c r="B100" s="63">
        <v>400</v>
      </c>
      <c r="C100" s="74">
        <f>B100/0.8</f>
        <v>500</v>
      </c>
      <c r="D100" s="75" t="s">
        <v>212</v>
      </c>
      <c r="E100" s="76" t="s">
        <v>201</v>
      </c>
      <c r="F100" s="32" t="s">
        <v>184</v>
      </c>
      <c r="G100" s="33" cm="1">
        <f t="array" ref="G100">fc(魚類月份!H100)</f>
        <v>0</v>
      </c>
      <c r="H100" s="33" cm="1">
        <f t="array" ref="H100">fc(魚類月份!I100)</f>
        <v>0</v>
      </c>
      <c r="I100" s="33" cm="1">
        <f t="array" ref="I100">fc(魚類月份!J100)</f>
        <v>0</v>
      </c>
      <c r="J100" s="33" cm="1">
        <f t="array" ref="J100">fc(魚類月份!K100)</f>
        <v>1</v>
      </c>
      <c r="K100" s="33" cm="1">
        <f t="array" ref="K100">fc(魚類月份!L100)</f>
        <v>1</v>
      </c>
      <c r="L100" s="33" cm="1">
        <f t="array" ref="L100">fc(魚類月份!M100)</f>
        <v>1</v>
      </c>
      <c r="M100" s="33" cm="1">
        <f t="array" ref="M100">fc(魚類月份!N100)</f>
        <v>1</v>
      </c>
      <c r="N100" s="33" cm="1">
        <f t="array" ref="N100">fc(魚類月份!O100)</f>
        <v>1</v>
      </c>
      <c r="O100" s="33" cm="1">
        <f t="array" ref="O100">fc(魚類月份!P100)</f>
        <v>1</v>
      </c>
      <c r="P100" s="33" cm="1">
        <f t="array" ref="P100">fc(魚類月份!Q100)</f>
        <v>1</v>
      </c>
      <c r="Q100" s="33" cm="1">
        <f t="array" ref="Q100">fc(魚類月份!R100)</f>
        <v>1</v>
      </c>
      <c r="R100" s="33" cm="1">
        <f t="array" ref="R100">fc(魚類月份!S100)</f>
        <v>0</v>
      </c>
      <c r="S100" s="63" t="s">
        <v>197</v>
      </c>
    </row>
    <row r="101" spans="1:19" x14ac:dyDescent="0.2">
      <c r="A101" s="73"/>
      <c r="B101" s="63"/>
      <c r="C101" s="74"/>
      <c r="D101" s="75"/>
      <c r="E101" s="76"/>
      <c r="F101" s="35" t="s">
        <v>198</v>
      </c>
      <c r="G101" s="33" cm="1">
        <f t="array" ref="G101">fc(魚類月份!H101)</f>
        <v>1</v>
      </c>
      <c r="H101" s="33" cm="1">
        <f t="array" ref="H101">fc(魚類月份!I101)</f>
        <v>1</v>
      </c>
      <c r="I101" s="33" cm="1">
        <f t="array" ref="I101">fc(魚類月份!J101)</f>
        <v>1</v>
      </c>
      <c r="J101" s="33" cm="1">
        <f t="array" ref="J101">fc(魚類月份!K101)</f>
        <v>1</v>
      </c>
      <c r="K101" s="33" cm="1">
        <f t="array" ref="K101">fc(魚類月份!L101)</f>
        <v>1</v>
      </c>
      <c r="L101" s="33" cm="1">
        <f t="array" ref="L101">fc(魚類月份!M101)</f>
        <v>0</v>
      </c>
      <c r="M101" s="33" cm="1">
        <f t="array" ref="M101">fc(魚類月份!N101)</f>
        <v>0</v>
      </c>
      <c r="N101" s="33" cm="1">
        <f t="array" ref="N101">fc(魚類月份!O101)</f>
        <v>0</v>
      </c>
      <c r="O101" s="33" cm="1">
        <f t="array" ref="O101">fc(魚類月份!P101)</f>
        <v>0</v>
      </c>
      <c r="P101" s="33" cm="1">
        <f t="array" ref="P101">fc(魚類月份!Q101)</f>
        <v>1</v>
      </c>
      <c r="Q101" s="33" cm="1">
        <f t="array" ref="Q101">fc(魚類月份!R101)</f>
        <v>1</v>
      </c>
      <c r="R101" s="33" cm="1">
        <f t="array" ref="R101">fc(魚類月份!S101)</f>
        <v>1</v>
      </c>
      <c r="S101" s="63"/>
    </row>
    <row r="102" spans="1:19" ht="15" customHeight="1" x14ac:dyDescent="0.2">
      <c r="A102" s="72" t="str">
        <f>SUBSTITUTE(SUBSTITUTE(魚類月份!B102,CHAR(13),","),CHAR(10),",")</f>
        <v>河豚,Blowfish</v>
      </c>
      <c r="B102" s="68">
        <v>4000</v>
      </c>
      <c r="C102" s="69">
        <f>B102/0.8</f>
        <v>5000</v>
      </c>
      <c r="D102" s="70" t="s">
        <v>212</v>
      </c>
      <c r="E102" s="71" t="s">
        <v>214</v>
      </c>
      <c r="F102" s="37" t="s">
        <v>184</v>
      </c>
      <c r="G102" s="33" cm="1">
        <f t="array" ref="G102">fc(魚類月份!H102)</f>
        <v>1</v>
      </c>
      <c r="H102" s="33" cm="1">
        <f t="array" ref="H102">fc(魚類月份!I102)</f>
        <v>1</v>
      </c>
      <c r="I102" s="33" cm="1">
        <f t="array" ref="I102">fc(魚類月份!J102)</f>
        <v>1</v>
      </c>
      <c r="J102" s="33" cm="1">
        <f t="array" ref="J102">fc(魚類月份!K102)</f>
        <v>1</v>
      </c>
      <c r="K102" s="33" cm="1">
        <f t="array" ref="K102">fc(魚類月份!L102)</f>
        <v>1</v>
      </c>
      <c r="L102" s="33" cm="1">
        <f t="array" ref="L102">fc(魚類月份!M102)</f>
        <v>1</v>
      </c>
      <c r="M102" s="33" cm="1">
        <f t="array" ref="M102">fc(魚類月份!N102)</f>
        <v>1</v>
      </c>
      <c r="N102" s="33" cm="1">
        <f t="array" ref="N102">fc(魚類月份!O102)</f>
        <v>1</v>
      </c>
      <c r="O102" s="33" cm="1">
        <f t="array" ref="O102">fc(魚類月份!P102)</f>
        <v>1</v>
      </c>
      <c r="P102" s="33" cm="1">
        <f t="array" ref="P102">fc(魚類月份!Q102)</f>
        <v>1</v>
      </c>
      <c r="Q102" s="33" cm="1">
        <f t="array" ref="Q102">fc(魚類月份!R102)</f>
        <v>1</v>
      </c>
      <c r="R102" s="33" cm="1">
        <f t="array" ref="R102">fc(魚類月份!S102)</f>
        <v>1</v>
      </c>
      <c r="S102" s="68" t="s">
        <v>213</v>
      </c>
    </row>
    <row r="103" spans="1:19" x14ac:dyDescent="0.2">
      <c r="A103" s="73"/>
      <c r="B103" s="68"/>
      <c r="C103" s="69"/>
      <c r="D103" s="70"/>
      <c r="E103" s="71"/>
      <c r="F103" s="39" t="s">
        <v>198</v>
      </c>
      <c r="G103" s="33" cm="1">
        <f t="array" ref="G103">fc(魚類月份!H103)</f>
        <v>1</v>
      </c>
      <c r="H103" s="33" cm="1">
        <f t="array" ref="H103">fc(魚類月份!I103)</f>
        <v>1</v>
      </c>
      <c r="I103" s="33" cm="1">
        <f t="array" ref="I103">fc(魚類月份!J103)</f>
        <v>1</v>
      </c>
      <c r="J103" s="33" cm="1">
        <f t="array" ref="J103">fc(魚類月份!K103)</f>
        <v>1</v>
      </c>
      <c r="K103" s="33" cm="1">
        <f t="array" ref="K103">fc(魚類月份!L103)</f>
        <v>1</v>
      </c>
      <c r="L103" s="33" cm="1">
        <f t="array" ref="L103">fc(魚類月份!M103)</f>
        <v>1</v>
      </c>
      <c r="M103" s="33" cm="1">
        <f t="array" ref="M103">fc(魚類月份!N103)</f>
        <v>1</v>
      </c>
      <c r="N103" s="33" cm="1">
        <f t="array" ref="N103">fc(魚類月份!O103)</f>
        <v>1</v>
      </c>
      <c r="O103" s="33" cm="1">
        <f t="array" ref="O103">fc(魚類月份!P103)</f>
        <v>1</v>
      </c>
      <c r="P103" s="33" cm="1">
        <f t="array" ref="P103">fc(魚類月份!Q103)</f>
        <v>1</v>
      </c>
      <c r="Q103" s="33" cm="1">
        <f t="array" ref="Q103">fc(魚類月份!R103)</f>
        <v>1</v>
      </c>
      <c r="R103" s="33" cm="1">
        <f t="array" ref="R103">fc(魚類月份!S103)</f>
        <v>1</v>
      </c>
      <c r="S103" s="68"/>
    </row>
    <row r="104" spans="1:19" ht="15" customHeight="1" x14ac:dyDescent="0.2">
      <c r="A104" s="72" t="str">
        <f>SUBSTITUTE(SUBSTITUTE(魚類月份!B104,CHAR(13),","),CHAR(10),",")</f>
        <v>刺河豚,Puffer fish</v>
      </c>
      <c r="B104" s="63">
        <v>200</v>
      </c>
      <c r="C104" s="74">
        <f>B104/0.8</f>
        <v>250</v>
      </c>
      <c r="D104" s="75" t="s">
        <v>212</v>
      </c>
      <c r="E104" s="76" t="s">
        <v>201</v>
      </c>
      <c r="F104" s="32" t="s">
        <v>184</v>
      </c>
      <c r="G104" s="33" cm="1">
        <f t="array" ref="G104">fc(魚類月份!H104)</f>
        <v>0</v>
      </c>
      <c r="H104" s="33" cm="1">
        <f t="array" ref="H104">fc(魚類月份!I104)</f>
        <v>0</v>
      </c>
      <c r="I104" s="33" cm="1">
        <f t="array" ref="I104">fc(魚類月份!J104)</f>
        <v>0</v>
      </c>
      <c r="J104" s="33" cm="1">
        <f t="array" ref="J104">fc(魚類月份!K104)</f>
        <v>0</v>
      </c>
      <c r="K104" s="33" cm="1">
        <f t="array" ref="K104">fc(魚類月份!L104)</f>
        <v>0</v>
      </c>
      <c r="L104" s="33" cm="1">
        <f t="array" ref="L104">fc(魚類月份!M104)</f>
        <v>0</v>
      </c>
      <c r="M104" s="33" cm="1">
        <f t="array" ref="M104">fc(魚類月份!N104)</f>
        <v>1</v>
      </c>
      <c r="N104" s="33" cm="1">
        <f t="array" ref="N104">fc(魚類月份!O104)</f>
        <v>1</v>
      </c>
      <c r="O104" s="33" cm="1">
        <f t="array" ref="O104">fc(魚類月份!P104)</f>
        <v>1</v>
      </c>
      <c r="P104" s="33" cm="1">
        <f t="array" ref="P104">fc(魚類月份!Q104)</f>
        <v>0</v>
      </c>
      <c r="Q104" s="33" cm="1">
        <f t="array" ref="Q104">fc(魚類月份!R104)</f>
        <v>0</v>
      </c>
      <c r="R104" s="33" cm="1">
        <f t="array" ref="R104">fc(魚類月份!S104)</f>
        <v>0</v>
      </c>
      <c r="S104" s="63" t="s">
        <v>197</v>
      </c>
    </row>
    <row r="105" spans="1:19" x14ac:dyDescent="0.2">
      <c r="A105" s="73"/>
      <c r="B105" s="63"/>
      <c r="C105" s="74"/>
      <c r="D105" s="75"/>
      <c r="E105" s="76"/>
      <c r="F105" s="35" t="s">
        <v>198</v>
      </c>
      <c r="G105" s="33" cm="1">
        <f t="array" ref="G105">fc(魚類月份!H105)</f>
        <v>1</v>
      </c>
      <c r="H105" s="33" cm="1">
        <f t="array" ref="H105">fc(魚類月份!I105)</f>
        <v>1</v>
      </c>
      <c r="I105" s="33" cm="1">
        <f t="array" ref="I105">fc(魚類月份!J105)</f>
        <v>1</v>
      </c>
      <c r="J105" s="33" cm="1">
        <f t="array" ref="J105">fc(魚類月份!K105)</f>
        <v>0</v>
      </c>
      <c r="K105" s="33" cm="1">
        <f t="array" ref="K105">fc(魚類月份!L105)</f>
        <v>0</v>
      </c>
      <c r="L105" s="33" cm="1">
        <f t="array" ref="L105">fc(魚類月份!M105)</f>
        <v>0</v>
      </c>
      <c r="M105" s="33" cm="1">
        <f t="array" ref="M105">fc(魚類月份!N105)</f>
        <v>0</v>
      </c>
      <c r="N105" s="33" cm="1">
        <f t="array" ref="N105">fc(魚類月份!O105)</f>
        <v>0</v>
      </c>
      <c r="O105" s="33" cm="1">
        <f t="array" ref="O105">fc(魚類月份!P105)</f>
        <v>0</v>
      </c>
      <c r="P105" s="33" cm="1">
        <f t="array" ref="P105">fc(魚類月份!Q105)</f>
        <v>0</v>
      </c>
      <c r="Q105" s="33" cm="1">
        <f t="array" ref="Q105">fc(魚類月份!R105)</f>
        <v>0</v>
      </c>
      <c r="R105" s="33" cm="1">
        <f t="array" ref="R105">fc(魚類月份!S105)</f>
        <v>0</v>
      </c>
      <c r="S105" s="63"/>
    </row>
    <row r="106" spans="1:19" ht="15" customHeight="1" x14ac:dyDescent="0.2">
      <c r="A106" s="72" t="str">
        <f>SUBSTITUTE(SUBSTITUTE(魚類月份!B106,CHAR(13),","),CHAR(10),",")</f>
        <v>鳳尾魚,Anchovy</v>
      </c>
      <c r="B106" s="68">
        <v>160</v>
      </c>
      <c r="C106" s="69">
        <f>B106/0.8</f>
        <v>200</v>
      </c>
      <c r="D106" s="70" t="s">
        <v>212</v>
      </c>
      <c r="E106" s="71" t="s">
        <v>200</v>
      </c>
      <c r="F106" s="37" t="s">
        <v>184</v>
      </c>
      <c r="G106" s="33" cm="1">
        <f t="array" ref="G106">fc(魚類月份!H106)</f>
        <v>1</v>
      </c>
      <c r="H106" s="33" cm="1">
        <f t="array" ref="H106">fc(魚類月份!I106)</f>
        <v>1</v>
      </c>
      <c r="I106" s="33" cm="1">
        <f t="array" ref="I106">fc(魚類月份!J106)</f>
        <v>1</v>
      </c>
      <c r="J106" s="33" cm="1">
        <f t="array" ref="J106">fc(魚類月份!K106)</f>
        <v>1</v>
      </c>
      <c r="K106" s="33" cm="1">
        <f t="array" ref="K106">fc(魚類月份!L106)</f>
        <v>1</v>
      </c>
      <c r="L106" s="33" cm="1">
        <f t="array" ref="L106">fc(魚類月份!M106)</f>
        <v>1</v>
      </c>
      <c r="M106" s="33" cm="1">
        <f t="array" ref="M106">fc(魚類月份!N106)</f>
        <v>1</v>
      </c>
      <c r="N106" s="33" cm="1">
        <f t="array" ref="N106">fc(魚類月份!O106)</f>
        <v>1</v>
      </c>
      <c r="O106" s="33" cm="1">
        <f t="array" ref="O106">fc(魚類月份!P106)</f>
        <v>1</v>
      </c>
      <c r="P106" s="33" cm="1">
        <f t="array" ref="P106">fc(魚類月份!Q106)</f>
        <v>1</v>
      </c>
      <c r="Q106" s="33" cm="1">
        <f t="array" ref="Q106">fc(魚類月份!R106)</f>
        <v>1</v>
      </c>
      <c r="R106" s="33" cm="1">
        <f t="array" ref="R106">fc(魚類月份!S106)</f>
        <v>1</v>
      </c>
      <c r="S106" s="68" t="s">
        <v>210</v>
      </c>
    </row>
    <row r="107" spans="1:19" x14ac:dyDescent="0.2">
      <c r="A107" s="73"/>
      <c r="B107" s="68"/>
      <c r="C107" s="69"/>
      <c r="D107" s="70"/>
      <c r="E107" s="71"/>
      <c r="F107" s="39" t="s">
        <v>198</v>
      </c>
      <c r="G107" s="33" cm="1">
        <f t="array" ref="G107">fc(魚類月份!H107)</f>
        <v>1</v>
      </c>
      <c r="H107" s="33" cm="1">
        <f t="array" ref="H107">fc(魚類月份!I107)</f>
        <v>1</v>
      </c>
      <c r="I107" s="33" cm="1">
        <f t="array" ref="I107">fc(魚類月份!J107)</f>
        <v>1</v>
      </c>
      <c r="J107" s="33" cm="1">
        <f t="array" ref="J107">fc(魚類月份!K107)</f>
        <v>1</v>
      </c>
      <c r="K107" s="33" cm="1">
        <f t="array" ref="K107">fc(魚類月份!L107)</f>
        <v>1</v>
      </c>
      <c r="L107" s="33" cm="1">
        <f t="array" ref="L107">fc(魚類月份!M107)</f>
        <v>1</v>
      </c>
      <c r="M107" s="33" cm="1">
        <f t="array" ref="M107">fc(魚類月份!N107)</f>
        <v>1</v>
      </c>
      <c r="N107" s="33" cm="1">
        <f t="array" ref="N107">fc(魚類月份!O107)</f>
        <v>1</v>
      </c>
      <c r="O107" s="33" cm="1">
        <f t="array" ref="O107">fc(魚類月份!P107)</f>
        <v>1</v>
      </c>
      <c r="P107" s="33" cm="1">
        <f t="array" ref="P107">fc(魚類月份!Q107)</f>
        <v>1</v>
      </c>
      <c r="Q107" s="33" cm="1">
        <f t="array" ref="Q107">fc(魚類月份!R107)</f>
        <v>1</v>
      </c>
      <c r="R107" s="33" cm="1">
        <f t="array" ref="R107">fc(魚類月份!S107)</f>
        <v>1</v>
      </c>
      <c r="S107" s="68"/>
    </row>
    <row r="108" spans="1:19" ht="15" customHeight="1" x14ac:dyDescent="0.2">
      <c r="A108" s="72" t="str">
        <f>SUBSTITUTE(SUBSTITUTE(魚類月份!B108,CHAR(13),","),CHAR(10),",")</f>
        <v>竹筴魚,Horse mackerel</v>
      </c>
      <c r="B108" s="63">
        <v>120</v>
      </c>
      <c r="C108" s="74">
        <f>B108/0.8</f>
        <v>150</v>
      </c>
      <c r="D108" s="75" t="s">
        <v>212</v>
      </c>
      <c r="E108" s="76" t="s">
        <v>200</v>
      </c>
      <c r="F108" s="32" t="s">
        <v>184</v>
      </c>
      <c r="G108" s="33" cm="1">
        <f t="array" ref="G108">fc(魚類月份!H108)</f>
        <v>1</v>
      </c>
      <c r="H108" s="33" cm="1">
        <f t="array" ref="H108">fc(魚類月份!I108)</f>
        <v>1</v>
      </c>
      <c r="I108" s="33" cm="1">
        <f t="array" ref="I108">fc(魚類月份!J108)</f>
        <v>1</v>
      </c>
      <c r="J108" s="33" cm="1">
        <f t="array" ref="J108">fc(魚類月份!K108)</f>
        <v>1</v>
      </c>
      <c r="K108" s="33" cm="1">
        <f t="array" ref="K108">fc(魚類月份!L108)</f>
        <v>1</v>
      </c>
      <c r="L108" s="33" cm="1">
        <f t="array" ref="L108">fc(魚類月份!M108)</f>
        <v>1</v>
      </c>
      <c r="M108" s="33" cm="1">
        <f t="array" ref="M108">fc(魚類月份!N108)</f>
        <v>1</v>
      </c>
      <c r="N108" s="33" cm="1">
        <f t="array" ref="N108">fc(魚類月份!O108)</f>
        <v>1</v>
      </c>
      <c r="O108" s="33" cm="1">
        <f t="array" ref="O108">fc(魚類月份!P108)</f>
        <v>1</v>
      </c>
      <c r="P108" s="33" cm="1">
        <f t="array" ref="P108">fc(魚類月份!Q108)</f>
        <v>1</v>
      </c>
      <c r="Q108" s="33" cm="1">
        <f t="array" ref="Q108">fc(魚類月份!R108)</f>
        <v>1</v>
      </c>
      <c r="R108" s="33" cm="1">
        <f t="array" ref="R108">fc(魚類月份!S108)</f>
        <v>1</v>
      </c>
      <c r="S108" s="63" t="s">
        <v>197</v>
      </c>
    </row>
    <row r="109" spans="1:19" x14ac:dyDescent="0.2">
      <c r="A109" s="73"/>
      <c r="B109" s="63"/>
      <c r="C109" s="74"/>
      <c r="D109" s="75"/>
      <c r="E109" s="76"/>
      <c r="F109" s="35" t="s">
        <v>198</v>
      </c>
      <c r="G109" s="33" cm="1">
        <f t="array" ref="G109">fc(魚類月份!H109)</f>
        <v>1</v>
      </c>
      <c r="H109" s="33" cm="1">
        <f t="array" ref="H109">fc(魚類月份!I109)</f>
        <v>1</v>
      </c>
      <c r="I109" s="33" cm="1">
        <f t="array" ref="I109">fc(魚類月份!J109)</f>
        <v>1</v>
      </c>
      <c r="J109" s="33" cm="1">
        <f t="array" ref="J109">fc(魚類月份!K109)</f>
        <v>1</v>
      </c>
      <c r="K109" s="33" cm="1">
        <f t="array" ref="K109">fc(魚類月份!L109)</f>
        <v>1</v>
      </c>
      <c r="L109" s="33" cm="1">
        <f t="array" ref="L109">fc(魚類月份!M109)</f>
        <v>1</v>
      </c>
      <c r="M109" s="33" cm="1">
        <f t="array" ref="M109">fc(魚類月份!N109)</f>
        <v>1</v>
      </c>
      <c r="N109" s="33" cm="1">
        <f t="array" ref="N109">fc(魚類月份!O109)</f>
        <v>1</v>
      </c>
      <c r="O109" s="33" cm="1">
        <f t="array" ref="O109">fc(魚類月份!P109)</f>
        <v>1</v>
      </c>
      <c r="P109" s="33" cm="1">
        <f t="array" ref="P109">fc(魚類月份!Q109)</f>
        <v>1</v>
      </c>
      <c r="Q109" s="33" cm="1">
        <f t="array" ref="Q109">fc(魚類月份!R109)</f>
        <v>1</v>
      </c>
      <c r="R109" s="33" cm="1">
        <f t="array" ref="R109">fc(魚類月份!S109)</f>
        <v>1</v>
      </c>
      <c r="S109" s="63"/>
    </row>
    <row r="110" spans="1:19" ht="15" customHeight="1" x14ac:dyDescent="0.2">
      <c r="A110" s="72" t="str">
        <f>SUBSTITUTE(SUBSTITUTE(魚類月份!B110,CHAR(13),","),CHAR(10),",")</f>
        <v>條石鯛,Barred knifejaw</v>
      </c>
      <c r="B110" s="68">
        <v>4000</v>
      </c>
      <c r="C110" s="69">
        <f>B110/0.8</f>
        <v>5000</v>
      </c>
      <c r="D110" s="70" t="s">
        <v>212</v>
      </c>
      <c r="E110" s="71" t="s">
        <v>201</v>
      </c>
      <c r="F110" s="37" t="s">
        <v>184</v>
      </c>
      <c r="G110" s="33" cm="1">
        <f t="array" ref="G110">fc(魚類月份!H110)</f>
        <v>0</v>
      </c>
      <c r="H110" s="33" cm="1">
        <f t="array" ref="H110">fc(魚類月份!I110)</f>
        <v>0</v>
      </c>
      <c r="I110" s="33" cm="1">
        <f t="array" ref="I110">fc(魚類月份!J110)</f>
        <v>1</v>
      </c>
      <c r="J110" s="33" cm="1">
        <f t="array" ref="J110">fc(魚類月份!K110)</f>
        <v>1</v>
      </c>
      <c r="K110" s="33" cm="1">
        <f t="array" ref="K110">fc(魚類月份!L110)</f>
        <v>1</v>
      </c>
      <c r="L110" s="33" cm="1">
        <f t="array" ref="L110">fc(魚類月份!M110)</f>
        <v>1</v>
      </c>
      <c r="M110" s="33" cm="1">
        <f t="array" ref="M110">fc(魚類月份!N110)</f>
        <v>1</v>
      </c>
      <c r="N110" s="33" cm="1">
        <f t="array" ref="N110">fc(魚類月份!O110)</f>
        <v>1</v>
      </c>
      <c r="O110" s="33" cm="1">
        <f t="array" ref="O110">fc(魚類月份!P110)</f>
        <v>1</v>
      </c>
      <c r="P110" s="33" cm="1">
        <f t="array" ref="P110">fc(魚類月份!Q110)</f>
        <v>1</v>
      </c>
      <c r="Q110" s="33" cm="1">
        <f t="array" ref="Q110">fc(魚類月份!R110)</f>
        <v>1</v>
      </c>
      <c r="R110" s="33" cm="1">
        <f t="array" ref="R110">fc(魚類月份!S110)</f>
        <v>0</v>
      </c>
      <c r="S110" s="68" t="s">
        <v>197</v>
      </c>
    </row>
    <row r="111" spans="1:19" x14ac:dyDescent="0.2">
      <c r="A111" s="73"/>
      <c r="B111" s="68"/>
      <c r="C111" s="69"/>
      <c r="D111" s="70"/>
      <c r="E111" s="71"/>
      <c r="F111" s="39" t="s">
        <v>198</v>
      </c>
      <c r="G111" s="33" cm="1">
        <f t="array" ref="G111">fc(魚類月份!H111)</f>
        <v>1</v>
      </c>
      <c r="H111" s="33" cm="1">
        <f t="array" ref="H111">fc(魚類月份!I111)</f>
        <v>1</v>
      </c>
      <c r="I111" s="33" cm="1">
        <f t="array" ref="I111">fc(魚類月份!J111)</f>
        <v>1</v>
      </c>
      <c r="J111" s="33" cm="1">
        <f t="array" ref="J111">fc(魚類月份!K111)</f>
        <v>1</v>
      </c>
      <c r="K111" s="33" cm="1">
        <f t="array" ref="K111">fc(魚類月份!L111)</f>
        <v>1</v>
      </c>
      <c r="L111" s="33" cm="1">
        <f t="array" ref="L111">fc(魚類月份!M111)</f>
        <v>0</v>
      </c>
      <c r="M111" s="33" cm="1">
        <f t="array" ref="M111">fc(魚類月份!N111)</f>
        <v>0</v>
      </c>
      <c r="N111" s="33" cm="1">
        <f t="array" ref="N111">fc(魚類月份!O111)</f>
        <v>0</v>
      </c>
      <c r="O111" s="33" cm="1">
        <f t="array" ref="O111">fc(魚類月份!P111)</f>
        <v>1</v>
      </c>
      <c r="P111" s="33" cm="1">
        <f t="array" ref="P111">fc(魚類月份!Q111)</f>
        <v>1</v>
      </c>
      <c r="Q111" s="33" cm="1">
        <f t="array" ref="Q111">fc(魚類月份!R111)</f>
        <v>1</v>
      </c>
      <c r="R111" s="33" cm="1">
        <f t="array" ref="R111">fc(魚類月份!S111)</f>
        <v>1</v>
      </c>
      <c r="S111" s="68"/>
    </row>
    <row r="112" spans="1:19" ht="15" customHeight="1" x14ac:dyDescent="0.2">
      <c r="A112" s="72" t="str">
        <f>SUBSTITUTE(SUBSTITUTE(魚類月份!B112,CHAR(13),","),CHAR(10),",")</f>
        <v>鱸魚,Sea bass</v>
      </c>
      <c r="B112" s="63">
        <v>320</v>
      </c>
      <c r="C112" s="74">
        <f>B112/0.8</f>
        <v>400</v>
      </c>
      <c r="D112" s="75" t="s">
        <v>212</v>
      </c>
      <c r="E112" s="76" t="s">
        <v>206</v>
      </c>
      <c r="F112" s="32" t="s">
        <v>184</v>
      </c>
      <c r="G112" s="33" cm="1">
        <f t="array" ref="G112">fc(魚類月份!H112)</f>
        <v>1</v>
      </c>
      <c r="H112" s="33" cm="1">
        <f t="array" ref="H112">fc(魚類月份!I112)</f>
        <v>1</v>
      </c>
      <c r="I112" s="33" cm="1">
        <f t="array" ref="I112">fc(魚類月份!J112)</f>
        <v>1</v>
      </c>
      <c r="J112" s="33" cm="1">
        <f t="array" ref="J112">fc(魚類月份!K112)</f>
        <v>1</v>
      </c>
      <c r="K112" s="33" cm="1">
        <f t="array" ref="K112">fc(魚類月份!L112)</f>
        <v>1</v>
      </c>
      <c r="L112" s="33" cm="1">
        <f t="array" ref="L112">fc(魚類月份!M112)</f>
        <v>1</v>
      </c>
      <c r="M112" s="33" cm="1">
        <f t="array" ref="M112">fc(魚類月份!N112)</f>
        <v>1</v>
      </c>
      <c r="N112" s="33" cm="1">
        <f t="array" ref="N112">fc(魚類月份!O112)</f>
        <v>1</v>
      </c>
      <c r="O112" s="33" cm="1">
        <f t="array" ref="O112">fc(魚類月份!P112)</f>
        <v>1</v>
      </c>
      <c r="P112" s="33" cm="1">
        <f t="array" ref="P112">fc(魚類月份!Q112)</f>
        <v>1</v>
      </c>
      <c r="Q112" s="33" cm="1">
        <f t="array" ref="Q112">fc(魚類月份!R112)</f>
        <v>1</v>
      </c>
      <c r="R112" s="33" cm="1">
        <f t="array" ref="R112">fc(魚類月份!S112)</f>
        <v>1</v>
      </c>
      <c r="S112" s="63" t="s">
        <v>197</v>
      </c>
    </row>
    <row r="113" spans="1:19" x14ac:dyDescent="0.2">
      <c r="A113" s="73"/>
      <c r="B113" s="63"/>
      <c r="C113" s="74"/>
      <c r="D113" s="75"/>
      <c r="E113" s="76"/>
      <c r="F113" s="35" t="s">
        <v>198</v>
      </c>
      <c r="G113" s="33" cm="1">
        <f t="array" ref="G113">fc(魚類月份!H113)</f>
        <v>1</v>
      </c>
      <c r="H113" s="33" cm="1">
        <f t="array" ref="H113">fc(魚類月份!I113)</f>
        <v>1</v>
      </c>
      <c r="I113" s="33" cm="1">
        <f t="array" ref="I113">fc(魚類月份!J113)</f>
        <v>1</v>
      </c>
      <c r="J113" s="33" cm="1">
        <f t="array" ref="J113">fc(魚類月份!K113)</f>
        <v>1</v>
      </c>
      <c r="K113" s="33" cm="1">
        <f t="array" ref="K113">fc(魚類月份!L113)</f>
        <v>1</v>
      </c>
      <c r="L113" s="33" cm="1">
        <f t="array" ref="L113">fc(魚類月份!M113)</f>
        <v>1</v>
      </c>
      <c r="M113" s="33" cm="1">
        <f t="array" ref="M113">fc(魚類月份!N113)</f>
        <v>1</v>
      </c>
      <c r="N113" s="33" cm="1">
        <f t="array" ref="N113">fc(魚類月份!O113)</f>
        <v>1</v>
      </c>
      <c r="O113" s="33" cm="1">
        <f t="array" ref="O113">fc(魚類月份!P113)</f>
        <v>1</v>
      </c>
      <c r="P113" s="33" cm="1">
        <f t="array" ref="P113">fc(魚類月份!Q113)</f>
        <v>1</v>
      </c>
      <c r="Q113" s="33" cm="1">
        <f t="array" ref="Q113">fc(魚類月份!R113)</f>
        <v>1</v>
      </c>
      <c r="R113" s="33" cm="1">
        <f t="array" ref="R113">fc(魚類月份!S113)</f>
        <v>1</v>
      </c>
      <c r="S113" s="63"/>
    </row>
    <row r="114" spans="1:19" ht="15" customHeight="1" x14ac:dyDescent="0.2">
      <c r="A114" s="72" t="str">
        <f>SUBSTITUTE(SUBSTITUTE(魚類月份!B114,CHAR(13),","),CHAR(10),",")</f>
        <v>鯛魚,Red snapper</v>
      </c>
      <c r="B114" s="68">
        <v>2400</v>
      </c>
      <c r="C114" s="69">
        <f>B114/0.8</f>
        <v>3000</v>
      </c>
      <c r="D114" s="70" t="s">
        <v>212</v>
      </c>
      <c r="E114" s="71" t="s">
        <v>204</v>
      </c>
      <c r="F114" s="37" t="s">
        <v>184</v>
      </c>
      <c r="G114" s="33" cm="1">
        <f t="array" ref="G114">fc(魚類月份!H114)</f>
        <v>1</v>
      </c>
      <c r="H114" s="33" cm="1">
        <f t="array" ref="H114">fc(魚類月份!I114)</f>
        <v>1</v>
      </c>
      <c r="I114" s="33" cm="1">
        <f t="array" ref="I114">fc(魚類月份!J114)</f>
        <v>1</v>
      </c>
      <c r="J114" s="33" cm="1">
        <f t="array" ref="J114">fc(魚類月份!K114)</f>
        <v>1</v>
      </c>
      <c r="K114" s="33" cm="1">
        <f t="array" ref="K114">fc(魚類月份!L114)</f>
        <v>1</v>
      </c>
      <c r="L114" s="33" cm="1">
        <f t="array" ref="L114">fc(魚類月份!M114)</f>
        <v>1</v>
      </c>
      <c r="M114" s="33" cm="1">
        <f t="array" ref="M114">fc(魚類月份!N114)</f>
        <v>1</v>
      </c>
      <c r="N114" s="33" cm="1">
        <f t="array" ref="N114">fc(魚類月份!O114)</f>
        <v>1</v>
      </c>
      <c r="O114" s="33" cm="1">
        <f t="array" ref="O114">fc(魚類月份!P114)</f>
        <v>1</v>
      </c>
      <c r="P114" s="33" cm="1">
        <f t="array" ref="P114">fc(魚類月份!Q114)</f>
        <v>1</v>
      </c>
      <c r="Q114" s="33" cm="1">
        <f t="array" ref="Q114">fc(魚類月份!R114)</f>
        <v>1</v>
      </c>
      <c r="R114" s="33" cm="1">
        <f t="array" ref="R114">fc(魚類月份!S114)</f>
        <v>1</v>
      </c>
      <c r="S114" s="68" t="s">
        <v>197</v>
      </c>
    </row>
    <row r="115" spans="1:19" x14ac:dyDescent="0.2">
      <c r="A115" s="73"/>
      <c r="B115" s="68"/>
      <c r="C115" s="69"/>
      <c r="D115" s="70"/>
      <c r="E115" s="71"/>
      <c r="F115" s="39" t="s">
        <v>198</v>
      </c>
      <c r="G115" s="33" cm="1">
        <f t="array" ref="G115">fc(魚類月份!H115)</f>
        <v>1</v>
      </c>
      <c r="H115" s="33" cm="1">
        <f t="array" ref="H115">fc(魚類月份!I115)</f>
        <v>1</v>
      </c>
      <c r="I115" s="33" cm="1">
        <f t="array" ref="I115">fc(魚類月份!J115)</f>
        <v>1</v>
      </c>
      <c r="J115" s="33" cm="1">
        <f t="array" ref="J115">fc(魚類月份!K115)</f>
        <v>1</v>
      </c>
      <c r="K115" s="33" cm="1">
        <f t="array" ref="K115">fc(魚類月份!L115)</f>
        <v>1</v>
      </c>
      <c r="L115" s="33" cm="1">
        <f t="array" ref="L115">fc(魚類月份!M115)</f>
        <v>1</v>
      </c>
      <c r="M115" s="33" cm="1">
        <f t="array" ref="M115">fc(魚類月份!N115)</f>
        <v>1</v>
      </c>
      <c r="N115" s="33" cm="1">
        <f t="array" ref="N115">fc(魚類月份!O115)</f>
        <v>1</v>
      </c>
      <c r="O115" s="33" cm="1">
        <f t="array" ref="O115">fc(魚類月份!P115)</f>
        <v>1</v>
      </c>
      <c r="P115" s="33" cm="1">
        <f t="array" ref="P115">fc(魚類月份!Q115)</f>
        <v>1</v>
      </c>
      <c r="Q115" s="33" cm="1">
        <f t="array" ref="Q115">fc(魚類月份!R115)</f>
        <v>1</v>
      </c>
      <c r="R115" s="33" cm="1">
        <f t="array" ref="R115">fc(魚類月份!S115)</f>
        <v>1</v>
      </c>
      <c r="S115" s="68"/>
    </row>
    <row r="116" spans="1:19" ht="15" customHeight="1" x14ac:dyDescent="0.2">
      <c r="A116" s="72" t="str">
        <f>SUBSTITUTE(SUBSTITUTE(魚類月份!B116,CHAR(13),","),CHAR(10),",")</f>
        <v>鰈魚,Dab</v>
      </c>
      <c r="B116" s="63">
        <v>240</v>
      </c>
      <c r="C116" s="74">
        <f>B116/0.8</f>
        <v>300</v>
      </c>
      <c r="D116" s="75" t="s">
        <v>212</v>
      </c>
      <c r="E116" s="76" t="s">
        <v>201</v>
      </c>
      <c r="F116" s="32" t="s">
        <v>184</v>
      </c>
      <c r="G116" s="33" cm="1">
        <f t="array" ref="G116">fc(魚類月份!H116)</f>
        <v>1</v>
      </c>
      <c r="H116" s="33" cm="1">
        <f t="array" ref="H116">fc(魚類月份!I116)</f>
        <v>1</v>
      </c>
      <c r="I116" s="33" cm="1">
        <f t="array" ref="I116">fc(魚類月份!J116)</f>
        <v>1</v>
      </c>
      <c r="J116" s="33" cm="1">
        <f t="array" ref="J116">fc(魚類月份!K116)</f>
        <v>1</v>
      </c>
      <c r="K116" s="33" cm="1">
        <f t="array" ref="K116">fc(魚類月份!L116)</f>
        <v>0</v>
      </c>
      <c r="L116" s="33" cm="1">
        <f t="array" ref="L116">fc(魚類月份!M116)</f>
        <v>0</v>
      </c>
      <c r="M116" s="33" cm="1">
        <f t="array" ref="M116">fc(魚類月份!N116)</f>
        <v>0</v>
      </c>
      <c r="N116" s="33" cm="1">
        <f t="array" ref="N116">fc(魚類月份!O116)</f>
        <v>0</v>
      </c>
      <c r="O116" s="33" cm="1">
        <f t="array" ref="O116">fc(魚類月份!P116)</f>
        <v>0</v>
      </c>
      <c r="P116" s="33" cm="1">
        <f t="array" ref="P116">fc(魚類月份!Q116)</f>
        <v>1</v>
      </c>
      <c r="Q116" s="33" cm="1">
        <f t="array" ref="Q116">fc(魚類月份!R116)</f>
        <v>1</v>
      </c>
      <c r="R116" s="33" cm="1">
        <f t="array" ref="R116">fc(魚類月份!S116)</f>
        <v>1</v>
      </c>
      <c r="S116" s="63" t="s">
        <v>197</v>
      </c>
    </row>
    <row r="117" spans="1:19" x14ac:dyDescent="0.2">
      <c r="A117" s="73"/>
      <c r="B117" s="63"/>
      <c r="C117" s="74"/>
      <c r="D117" s="75"/>
      <c r="E117" s="76"/>
      <c r="F117" s="35" t="s">
        <v>198</v>
      </c>
      <c r="G117" s="33" cm="1">
        <f t="array" ref="G117">fc(魚類月份!H117)</f>
        <v>0</v>
      </c>
      <c r="H117" s="33" cm="1">
        <f t="array" ref="H117">fc(魚類月份!I117)</f>
        <v>0</v>
      </c>
      <c r="I117" s="33" cm="1">
        <f t="array" ref="I117">fc(魚類月份!J117)</f>
        <v>0</v>
      </c>
      <c r="J117" s="33" cm="1">
        <f t="array" ref="J117">fc(魚類月份!K117)</f>
        <v>1</v>
      </c>
      <c r="K117" s="33" cm="1">
        <f t="array" ref="K117">fc(魚類月份!L117)</f>
        <v>1</v>
      </c>
      <c r="L117" s="33" cm="1">
        <f t="array" ref="L117">fc(魚類月份!M117)</f>
        <v>1</v>
      </c>
      <c r="M117" s="33" cm="1">
        <f t="array" ref="M117">fc(魚類月份!N117)</f>
        <v>1</v>
      </c>
      <c r="N117" s="33" cm="1">
        <f t="array" ref="N117">fc(魚類月份!O117)</f>
        <v>1</v>
      </c>
      <c r="O117" s="33" cm="1">
        <f t="array" ref="O117">fc(魚類月份!P117)</f>
        <v>1</v>
      </c>
      <c r="P117" s="33" cm="1">
        <f t="array" ref="P117">fc(魚類月份!Q117)</f>
        <v>1</v>
      </c>
      <c r="Q117" s="33" cm="1">
        <f t="array" ref="Q117">fc(魚類月份!R117)</f>
        <v>0</v>
      </c>
      <c r="R117" s="33" cm="1">
        <f t="array" ref="R117">fc(魚類月份!S117)</f>
        <v>0</v>
      </c>
      <c r="S117" s="63"/>
    </row>
    <row r="118" spans="1:19" ht="15" customHeight="1" x14ac:dyDescent="0.2">
      <c r="A118" s="72" t="str">
        <f>SUBSTITUTE(SUBSTITUTE(魚類月份!B118,CHAR(13),","),CHAR(10),",")</f>
        <v>比目魚,Olive flounder</v>
      </c>
      <c r="B118" s="68">
        <v>640</v>
      </c>
      <c r="C118" s="69">
        <f>B118/0.8</f>
        <v>800</v>
      </c>
      <c r="D118" s="70" t="s">
        <v>212</v>
      </c>
      <c r="E118" s="71" t="s">
        <v>206</v>
      </c>
      <c r="F118" s="37" t="s">
        <v>184</v>
      </c>
      <c r="G118" s="33" cm="1">
        <f t="array" ref="G118">fc(魚類月份!H118)</f>
        <v>1</v>
      </c>
      <c r="H118" s="33" cm="1">
        <f t="array" ref="H118">fc(魚類月份!I118)</f>
        <v>1</v>
      </c>
      <c r="I118" s="33" cm="1">
        <f t="array" ref="I118">fc(魚類月份!J118)</f>
        <v>1</v>
      </c>
      <c r="J118" s="33" cm="1">
        <f t="array" ref="J118">fc(魚類月份!K118)</f>
        <v>1</v>
      </c>
      <c r="K118" s="33" cm="1">
        <f t="array" ref="K118">fc(魚類月份!L118)</f>
        <v>1</v>
      </c>
      <c r="L118" s="33" cm="1">
        <f t="array" ref="L118">fc(魚類月份!M118)</f>
        <v>1</v>
      </c>
      <c r="M118" s="33" cm="1">
        <f t="array" ref="M118">fc(魚類月份!N118)</f>
        <v>1</v>
      </c>
      <c r="N118" s="33" cm="1">
        <f t="array" ref="N118">fc(魚類月份!O118)</f>
        <v>1</v>
      </c>
      <c r="O118" s="33" cm="1">
        <f t="array" ref="O118">fc(魚類月份!P118)</f>
        <v>1</v>
      </c>
      <c r="P118" s="33" cm="1">
        <f t="array" ref="P118">fc(魚類月份!Q118)</f>
        <v>1</v>
      </c>
      <c r="Q118" s="33" cm="1">
        <f t="array" ref="Q118">fc(魚類月份!R118)</f>
        <v>1</v>
      </c>
      <c r="R118" s="33" cm="1">
        <f t="array" ref="R118">fc(魚類月份!S118)</f>
        <v>1</v>
      </c>
      <c r="S118" s="68" t="s">
        <v>197</v>
      </c>
    </row>
    <row r="119" spans="1:19" x14ac:dyDescent="0.2">
      <c r="A119" s="73"/>
      <c r="B119" s="68"/>
      <c r="C119" s="69"/>
      <c r="D119" s="70"/>
      <c r="E119" s="71"/>
      <c r="F119" s="39" t="s">
        <v>198</v>
      </c>
      <c r="G119" s="33" cm="1">
        <f t="array" ref="G119">fc(魚類月份!H119)</f>
        <v>1</v>
      </c>
      <c r="H119" s="33" cm="1">
        <f t="array" ref="H119">fc(魚類月份!I119)</f>
        <v>1</v>
      </c>
      <c r="I119" s="33" cm="1">
        <f t="array" ref="I119">fc(魚類月份!J119)</f>
        <v>1</v>
      </c>
      <c r="J119" s="33" cm="1">
        <f t="array" ref="J119">fc(魚類月份!K119)</f>
        <v>1</v>
      </c>
      <c r="K119" s="33" cm="1">
        <f t="array" ref="K119">fc(魚類月份!L119)</f>
        <v>1</v>
      </c>
      <c r="L119" s="33" cm="1">
        <f t="array" ref="L119">fc(魚類月份!M119)</f>
        <v>1</v>
      </c>
      <c r="M119" s="33" cm="1">
        <f t="array" ref="M119">fc(魚類月份!N119)</f>
        <v>1</v>
      </c>
      <c r="N119" s="33" cm="1">
        <f t="array" ref="N119">fc(魚類月份!O119)</f>
        <v>1</v>
      </c>
      <c r="O119" s="33" cm="1">
        <f t="array" ref="O119">fc(魚類月份!P119)</f>
        <v>1</v>
      </c>
      <c r="P119" s="33" cm="1">
        <f t="array" ref="P119">fc(魚類月份!Q119)</f>
        <v>1</v>
      </c>
      <c r="Q119" s="33" cm="1">
        <f t="array" ref="Q119">fc(魚類月份!R119)</f>
        <v>1</v>
      </c>
      <c r="R119" s="33" cm="1">
        <f t="array" ref="R119">fc(魚類月份!S119)</f>
        <v>1</v>
      </c>
      <c r="S119" s="68"/>
    </row>
    <row r="120" spans="1:19" ht="15" customHeight="1" x14ac:dyDescent="0.2">
      <c r="A120" s="72" t="str">
        <f>SUBSTITUTE(SUBSTITUTE(魚類月份!B120,CHAR(13),","),CHAR(10),",")</f>
        <v>魷魚,Squid</v>
      </c>
      <c r="B120" s="63">
        <v>400</v>
      </c>
      <c r="C120" s="74">
        <f>B120/0.8</f>
        <v>500</v>
      </c>
      <c r="D120" s="75" t="s">
        <v>212</v>
      </c>
      <c r="E120" s="76" t="s">
        <v>201</v>
      </c>
      <c r="F120" s="32" t="s">
        <v>184</v>
      </c>
      <c r="G120" s="33" cm="1">
        <f t="array" ref="G120">fc(魚類月份!H120)</f>
        <v>1</v>
      </c>
      <c r="H120" s="33" cm="1">
        <f t="array" ref="H120">fc(魚類月份!I120)</f>
        <v>1</v>
      </c>
      <c r="I120" s="33" cm="1">
        <f t="array" ref="I120">fc(魚類月份!J120)</f>
        <v>1</v>
      </c>
      <c r="J120" s="33" cm="1">
        <f t="array" ref="J120">fc(魚類月份!K120)</f>
        <v>1</v>
      </c>
      <c r="K120" s="33" cm="1">
        <f t="array" ref="K120">fc(魚類月份!L120)</f>
        <v>1</v>
      </c>
      <c r="L120" s="33" cm="1">
        <f t="array" ref="L120">fc(魚類月份!M120)</f>
        <v>1</v>
      </c>
      <c r="M120" s="33" cm="1">
        <f t="array" ref="M120">fc(魚類月份!N120)</f>
        <v>1</v>
      </c>
      <c r="N120" s="33" cm="1">
        <f t="array" ref="N120">fc(魚類月份!O120)</f>
        <v>1</v>
      </c>
      <c r="O120" s="33" cm="1">
        <f t="array" ref="O120">fc(魚類月份!P120)</f>
        <v>0</v>
      </c>
      <c r="P120" s="33" cm="1">
        <f t="array" ref="P120">fc(魚類月份!Q120)</f>
        <v>0</v>
      </c>
      <c r="Q120" s="33" cm="1">
        <f t="array" ref="Q120">fc(魚類月份!R120)</f>
        <v>0</v>
      </c>
      <c r="R120" s="33" cm="1">
        <f t="array" ref="R120">fc(魚類月份!S120)</f>
        <v>1</v>
      </c>
      <c r="S120" s="63" t="s">
        <v>197</v>
      </c>
    </row>
    <row r="121" spans="1:19" x14ac:dyDescent="0.2">
      <c r="A121" s="73"/>
      <c r="B121" s="63"/>
      <c r="C121" s="74"/>
      <c r="D121" s="75"/>
      <c r="E121" s="76"/>
      <c r="F121" s="35" t="s">
        <v>198</v>
      </c>
      <c r="G121" s="33" cm="1">
        <f t="array" ref="G121">fc(魚類月份!H121)</f>
        <v>1</v>
      </c>
      <c r="H121" s="33" cm="1">
        <f t="array" ref="H121">fc(魚類月份!I121)</f>
        <v>1</v>
      </c>
      <c r="I121" s="33" cm="1">
        <f t="array" ref="I121">fc(魚類月份!J121)</f>
        <v>0</v>
      </c>
      <c r="J121" s="33" cm="1">
        <f t="array" ref="J121">fc(魚類月份!K121)</f>
        <v>0</v>
      </c>
      <c r="K121" s="33" cm="1">
        <f t="array" ref="K121">fc(魚類月份!L121)</f>
        <v>0</v>
      </c>
      <c r="L121" s="33" cm="1">
        <f t="array" ref="L121">fc(魚類月份!M121)</f>
        <v>1</v>
      </c>
      <c r="M121" s="33" cm="1">
        <f t="array" ref="M121">fc(魚類月份!N121)</f>
        <v>1</v>
      </c>
      <c r="N121" s="33" cm="1">
        <f t="array" ref="N121">fc(魚類月份!O121)</f>
        <v>1</v>
      </c>
      <c r="O121" s="33" cm="1">
        <f t="array" ref="O121">fc(魚類月份!P121)</f>
        <v>1</v>
      </c>
      <c r="P121" s="33" cm="1">
        <f t="array" ref="P121">fc(魚類月份!Q121)</f>
        <v>1</v>
      </c>
      <c r="Q121" s="33" cm="1">
        <f t="array" ref="Q121">fc(魚類月份!R121)</f>
        <v>1</v>
      </c>
      <c r="R121" s="33" cm="1">
        <f t="array" ref="R121">fc(魚類月份!S121)</f>
        <v>1</v>
      </c>
      <c r="S121" s="63"/>
    </row>
    <row r="122" spans="1:19" ht="15" customHeight="1" x14ac:dyDescent="0.2">
      <c r="A122" s="72" t="str">
        <f>SUBSTITUTE(SUBSTITUTE(魚類月份!B122,CHAR(13),","),CHAR(10),",")</f>
        <v>裸胸鱔,Moray eel</v>
      </c>
      <c r="B122" s="68">
        <v>1600</v>
      </c>
      <c r="C122" s="69">
        <f>B122/0.8</f>
        <v>2000</v>
      </c>
      <c r="D122" s="70" t="s">
        <v>212</v>
      </c>
      <c r="E122" s="71" t="s">
        <v>215</v>
      </c>
      <c r="F122" s="37" t="s">
        <v>184</v>
      </c>
      <c r="G122" s="33" cm="1">
        <f t="array" ref="G122">fc(魚類月份!H122)</f>
        <v>0</v>
      </c>
      <c r="H122" s="33" cm="1">
        <f t="array" ref="H122">fc(魚類月份!I122)</f>
        <v>0</v>
      </c>
      <c r="I122" s="33" cm="1">
        <f t="array" ref="I122">fc(魚類月份!J122)</f>
        <v>0</v>
      </c>
      <c r="J122" s="33" cm="1">
        <f t="array" ref="J122">fc(魚類月份!K122)</f>
        <v>0</v>
      </c>
      <c r="K122" s="33" cm="1">
        <f t="array" ref="K122">fc(魚類月份!L122)</f>
        <v>0</v>
      </c>
      <c r="L122" s="33" cm="1">
        <f t="array" ref="L122">fc(魚類月份!M122)</f>
        <v>0</v>
      </c>
      <c r="M122" s="33" cm="1">
        <f t="array" ref="M122">fc(魚類月份!N122)</f>
        <v>0</v>
      </c>
      <c r="N122" s="33" cm="1">
        <f t="array" ref="N122">fc(魚類月份!O122)</f>
        <v>1</v>
      </c>
      <c r="O122" s="33" cm="1">
        <f t="array" ref="O122">fc(魚類月份!P122)</f>
        <v>1</v>
      </c>
      <c r="P122" s="33" cm="1">
        <f t="array" ref="P122">fc(魚類月份!Q122)</f>
        <v>1</v>
      </c>
      <c r="Q122" s="33" cm="1">
        <f t="array" ref="Q122">fc(魚類月份!R122)</f>
        <v>0</v>
      </c>
      <c r="R122" s="33" cm="1">
        <f t="array" ref="R122">fc(魚類月份!S122)</f>
        <v>0</v>
      </c>
      <c r="S122" s="68" t="s">
        <v>197</v>
      </c>
    </row>
    <row r="123" spans="1:19" x14ac:dyDescent="0.2">
      <c r="A123" s="73"/>
      <c r="B123" s="68"/>
      <c r="C123" s="69"/>
      <c r="D123" s="70"/>
      <c r="E123" s="71"/>
      <c r="F123" s="39" t="s">
        <v>198</v>
      </c>
      <c r="G123" s="33" cm="1">
        <f t="array" ref="G123">fc(魚類月份!H123)</f>
        <v>0</v>
      </c>
      <c r="H123" s="33" cm="1">
        <f t="array" ref="H123">fc(魚類月份!I123)</f>
        <v>1</v>
      </c>
      <c r="I123" s="33" cm="1">
        <f t="array" ref="I123">fc(魚類月份!J123)</f>
        <v>1</v>
      </c>
      <c r="J123" s="33" cm="1">
        <f t="array" ref="J123">fc(魚類月份!K123)</f>
        <v>1</v>
      </c>
      <c r="K123" s="33" cm="1">
        <f t="array" ref="K123">fc(魚類月份!L123)</f>
        <v>0</v>
      </c>
      <c r="L123" s="33" cm="1">
        <f t="array" ref="L123">fc(魚類月份!M123)</f>
        <v>0</v>
      </c>
      <c r="M123" s="33" cm="1">
        <f t="array" ref="M123">fc(魚類月份!N123)</f>
        <v>0</v>
      </c>
      <c r="N123" s="33" cm="1">
        <f t="array" ref="N123">fc(魚類月份!O123)</f>
        <v>0</v>
      </c>
      <c r="O123" s="33" cm="1">
        <f t="array" ref="O123">fc(魚類月份!P123)</f>
        <v>0</v>
      </c>
      <c r="P123" s="33" cm="1">
        <f t="array" ref="P123">fc(魚類月份!Q123)</f>
        <v>0</v>
      </c>
      <c r="Q123" s="33" cm="1">
        <f t="array" ref="Q123">fc(魚類月份!R123)</f>
        <v>0</v>
      </c>
      <c r="R123" s="33" cm="1">
        <f t="array" ref="R123">fc(魚類月份!S123)</f>
        <v>0</v>
      </c>
      <c r="S123" s="68"/>
    </row>
    <row r="124" spans="1:19" ht="15" customHeight="1" x14ac:dyDescent="0.2">
      <c r="A124" s="72" t="str">
        <f>SUBSTITUTE(SUBSTITUTE(魚類月份!B124,CHAR(13),","),CHAR(10),",")</f>
        <v>五彩鰻,Ribbon eel</v>
      </c>
      <c r="B124" s="63">
        <v>480</v>
      </c>
      <c r="C124" s="74">
        <f>B124/0.8</f>
        <v>600</v>
      </c>
      <c r="D124" s="75" t="s">
        <v>212</v>
      </c>
      <c r="E124" s="76" t="s">
        <v>215</v>
      </c>
      <c r="F124" s="32" t="s">
        <v>184</v>
      </c>
      <c r="G124" s="33" cm="1">
        <f t="array" ref="G124">fc(魚類月份!H124)</f>
        <v>0</v>
      </c>
      <c r="H124" s="33" cm="1">
        <f t="array" ref="H124">fc(魚類月份!I124)</f>
        <v>0</v>
      </c>
      <c r="I124" s="33" cm="1">
        <f t="array" ref="I124">fc(魚類月份!J124)</f>
        <v>0</v>
      </c>
      <c r="J124" s="33" cm="1">
        <f t="array" ref="J124">fc(魚類月份!K124)</f>
        <v>0</v>
      </c>
      <c r="K124" s="33" cm="1">
        <f t="array" ref="K124">fc(魚類月份!L124)</f>
        <v>0</v>
      </c>
      <c r="L124" s="33" cm="1">
        <f t="array" ref="L124">fc(魚類月份!M124)</f>
        <v>1</v>
      </c>
      <c r="M124" s="33" cm="1">
        <f t="array" ref="M124">fc(魚類月份!N124)</f>
        <v>1</v>
      </c>
      <c r="N124" s="33" cm="1">
        <f t="array" ref="N124">fc(魚類月份!O124)</f>
        <v>1</v>
      </c>
      <c r="O124" s="33" cm="1">
        <f t="array" ref="O124">fc(魚類月份!P124)</f>
        <v>1</v>
      </c>
      <c r="P124" s="33" cm="1">
        <f t="array" ref="P124">fc(魚類月份!Q124)</f>
        <v>1</v>
      </c>
      <c r="Q124" s="33" cm="1">
        <f t="array" ref="Q124">fc(魚類月份!R124)</f>
        <v>0</v>
      </c>
      <c r="R124" s="33" cm="1">
        <f t="array" ref="R124">fc(魚類月份!S124)</f>
        <v>0</v>
      </c>
      <c r="S124" s="63" t="s">
        <v>197</v>
      </c>
    </row>
    <row r="125" spans="1:19" x14ac:dyDescent="0.2">
      <c r="A125" s="73"/>
      <c r="B125" s="63"/>
      <c r="C125" s="74"/>
      <c r="D125" s="75"/>
      <c r="E125" s="76"/>
      <c r="F125" s="35" t="s">
        <v>198</v>
      </c>
      <c r="G125" s="33" cm="1">
        <f t="array" ref="G125">fc(魚類月份!H125)</f>
        <v>1</v>
      </c>
      <c r="H125" s="33" cm="1">
        <f t="array" ref="H125">fc(魚類月份!I125)</f>
        <v>1</v>
      </c>
      <c r="I125" s="33" cm="1">
        <f t="array" ref="I125">fc(魚類月份!J125)</f>
        <v>1</v>
      </c>
      <c r="J125" s="33" cm="1">
        <f t="array" ref="J125">fc(魚類月份!K125)</f>
        <v>1</v>
      </c>
      <c r="K125" s="33" cm="1">
        <f t="array" ref="K125">fc(魚類月份!L125)</f>
        <v>0</v>
      </c>
      <c r="L125" s="33" cm="1">
        <f t="array" ref="L125">fc(魚類月份!M125)</f>
        <v>0</v>
      </c>
      <c r="M125" s="33" cm="1">
        <f t="array" ref="M125">fc(魚類月份!N125)</f>
        <v>0</v>
      </c>
      <c r="N125" s="33" cm="1">
        <f t="array" ref="N125">fc(魚類月份!O125)</f>
        <v>0</v>
      </c>
      <c r="O125" s="33" cm="1">
        <f t="array" ref="O125">fc(魚類月份!P125)</f>
        <v>0</v>
      </c>
      <c r="P125" s="33" cm="1">
        <f t="array" ref="P125">fc(魚類月份!Q125)</f>
        <v>0</v>
      </c>
      <c r="Q125" s="33" cm="1">
        <f t="array" ref="Q125">fc(魚類月份!R125)</f>
        <v>0</v>
      </c>
      <c r="R125" s="33" cm="1">
        <f t="array" ref="R125">fc(魚類月份!S125)</f>
        <v>1</v>
      </c>
      <c r="S125" s="63"/>
    </row>
    <row r="126" spans="1:19" ht="15" customHeight="1" x14ac:dyDescent="0.2">
      <c r="A126" s="72" t="str">
        <f>SUBSTITUTE(SUBSTITUTE(魚類月份!B126,CHAR(13),","),CHAR(10),",")</f>
        <v>鮪魚,Tuna</v>
      </c>
      <c r="B126" s="68">
        <v>5600</v>
      </c>
      <c r="C126" s="69">
        <f>B126/0.8</f>
        <v>7000</v>
      </c>
      <c r="D126" s="70" t="s">
        <v>216</v>
      </c>
      <c r="E126" s="71" t="s">
        <v>211</v>
      </c>
      <c r="F126" s="37" t="s">
        <v>184</v>
      </c>
      <c r="G126" s="33" cm="1">
        <f t="array" ref="G126">fc(魚類月份!H126)</f>
        <v>1</v>
      </c>
      <c r="H126" s="33" cm="1">
        <f t="array" ref="H126">fc(魚類月份!I126)</f>
        <v>1</v>
      </c>
      <c r="I126" s="33" cm="1">
        <f t="array" ref="I126">fc(魚類月份!J126)</f>
        <v>1</v>
      </c>
      <c r="J126" s="33" cm="1">
        <f t="array" ref="J126">fc(魚類月份!K126)</f>
        <v>0</v>
      </c>
      <c r="K126" s="33" cm="1">
        <f t="array" ref="K126">fc(魚類月份!L126)</f>
        <v>0</v>
      </c>
      <c r="L126" s="33" cm="1">
        <f t="array" ref="L126">fc(魚類月份!M126)</f>
        <v>0</v>
      </c>
      <c r="M126" s="33" cm="1">
        <f t="array" ref="M126">fc(魚類月份!N126)</f>
        <v>0</v>
      </c>
      <c r="N126" s="33" cm="1">
        <f t="array" ref="N126">fc(魚類月份!O126)</f>
        <v>0</v>
      </c>
      <c r="O126" s="33" cm="1">
        <f t="array" ref="O126">fc(魚類月份!P126)</f>
        <v>0</v>
      </c>
      <c r="P126" s="33" cm="1">
        <f t="array" ref="P126">fc(魚類月份!Q126)</f>
        <v>0</v>
      </c>
      <c r="Q126" s="33" cm="1">
        <f t="array" ref="Q126">fc(魚類月份!R126)</f>
        <v>1</v>
      </c>
      <c r="R126" s="33" cm="1">
        <f t="array" ref="R126">fc(魚類月份!S126)</f>
        <v>1</v>
      </c>
      <c r="S126" s="68" t="s">
        <v>197</v>
      </c>
    </row>
    <row r="127" spans="1:19" x14ac:dyDescent="0.2">
      <c r="A127" s="73"/>
      <c r="B127" s="68"/>
      <c r="C127" s="69"/>
      <c r="D127" s="70"/>
      <c r="E127" s="71"/>
      <c r="F127" s="39" t="s">
        <v>198</v>
      </c>
      <c r="G127" s="33" cm="1">
        <f t="array" ref="G127">fc(魚類月份!H127)</f>
        <v>0</v>
      </c>
      <c r="H127" s="33" cm="1">
        <f t="array" ref="H127">fc(魚類月份!I127)</f>
        <v>0</v>
      </c>
      <c r="I127" s="33" cm="1">
        <f t="array" ref="I127">fc(魚類月份!J127)</f>
        <v>0</v>
      </c>
      <c r="J127" s="33" cm="1">
        <f t="array" ref="J127">fc(魚類月份!K127)</f>
        <v>0</v>
      </c>
      <c r="K127" s="33" cm="1">
        <f t="array" ref="K127">fc(魚類月份!L127)</f>
        <v>1</v>
      </c>
      <c r="L127" s="33" cm="1">
        <f t="array" ref="L127">fc(魚類月份!M127)</f>
        <v>1</v>
      </c>
      <c r="M127" s="33" cm="1">
        <f t="array" ref="M127">fc(魚類月份!N127)</f>
        <v>1</v>
      </c>
      <c r="N127" s="33" cm="1">
        <f t="array" ref="N127">fc(魚類月份!O127)</f>
        <v>1</v>
      </c>
      <c r="O127" s="33" cm="1">
        <f t="array" ref="O127">fc(魚類月份!P127)</f>
        <v>1</v>
      </c>
      <c r="P127" s="33" cm="1">
        <f t="array" ref="P127">fc(魚類月份!Q127)</f>
        <v>0</v>
      </c>
      <c r="Q127" s="33" cm="1">
        <f t="array" ref="Q127">fc(魚類月份!R127)</f>
        <v>0</v>
      </c>
      <c r="R127" s="33" cm="1">
        <f t="array" ref="R127">fc(魚類月份!S127)</f>
        <v>0</v>
      </c>
      <c r="S127" s="68"/>
    </row>
    <row r="128" spans="1:19" ht="15" customHeight="1" x14ac:dyDescent="0.2">
      <c r="A128" s="72" t="str">
        <f>SUBSTITUTE(SUBSTITUTE(魚類月份!B128,CHAR(13),","),CHAR(10),",")</f>
        <v>旗魚,Blue marlin</v>
      </c>
      <c r="B128" s="63">
        <v>8000</v>
      </c>
      <c r="C128" s="74">
        <f>B128/0.8</f>
        <v>10000</v>
      </c>
      <c r="D128" s="75" t="s">
        <v>216</v>
      </c>
      <c r="E128" s="76" t="s">
        <v>211</v>
      </c>
      <c r="F128" s="32" t="s">
        <v>184</v>
      </c>
      <c r="G128" s="33" cm="1">
        <f t="array" ref="G128">fc(魚類月份!H128)</f>
        <v>1</v>
      </c>
      <c r="H128" s="33" cm="1">
        <f t="array" ref="H128">fc(魚類月份!I128)</f>
        <v>1</v>
      </c>
      <c r="I128" s="33" cm="1">
        <f t="array" ref="I128">fc(魚類月份!J128)</f>
        <v>1</v>
      </c>
      <c r="J128" s="33" cm="1">
        <f t="array" ref="J128">fc(魚類月份!K128)</f>
        <v>1</v>
      </c>
      <c r="K128" s="33" cm="1">
        <f t="array" ref="K128">fc(魚類月份!L128)</f>
        <v>0</v>
      </c>
      <c r="L128" s="33" cm="1">
        <f t="array" ref="L128">fc(魚類月份!M128)</f>
        <v>0</v>
      </c>
      <c r="M128" s="33" cm="1">
        <f t="array" ref="M128">fc(魚類月份!N128)</f>
        <v>1</v>
      </c>
      <c r="N128" s="33" cm="1">
        <f t="array" ref="N128">fc(魚類月份!O128)</f>
        <v>1</v>
      </c>
      <c r="O128" s="33" cm="1">
        <f t="array" ref="O128">fc(魚類月份!P128)</f>
        <v>1</v>
      </c>
      <c r="P128" s="33" cm="1">
        <f t="array" ref="P128">fc(魚類月份!Q128)</f>
        <v>0</v>
      </c>
      <c r="Q128" s="33" cm="1">
        <f t="array" ref="Q128">fc(魚類月份!R128)</f>
        <v>1</v>
      </c>
      <c r="R128" s="33" cm="1">
        <f t="array" ref="R128">fc(魚類月份!S128)</f>
        <v>1</v>
      </c>
      <c r="S128" s="63" t="s">
        <v>197</v>
      </c>
    </row>
    <row r="129" spans="1:19" x14ac:dyDescent="0.2">
      <c r="A129" s="73"/>
      <c r="B129" s="63"/>
      <c r="C129" s="74"/>
      <c r="D129" s="75"/>
      <c r="E129" s="76"/>
      <c r="F129" s="35" t="s">
        <v>198</v>
      </c>
      <c r="G129" s="33" cm="1">
        <f t="array" ref="G129">fc(魚類月份!H129)</f>
        <v>1</v>
      </c>
      <c r="H129" s="33" cm="1">
        <f t="array" ref="H129">fc(魚類月份!I129)</f>
        <v>1</v>
      </c>
      <c r="I129" s="33" cm="1">
        <f t="array" ref="I129">fc(魚類月份!J129)</f>
        <v>1</v>
      </c>
      <c r="J129" s="33" cm="1">
        <f t="array" ref="J129">fc(魚類月份!K129)</f>
        <v>1</v>
      </c>
      <c r="K129" s="33" cm="1">
        <f t="array" ref="K129">fc(魚類月份!L129)</f>
        <v>1</v>
      </c>
      <c r="L129" s="33" cm="1">
        <f t="array" ref="L129">fc(魚類月份!M129)</f>
        <v>1</v>
      </c>
      <c r="M129" s="33" cm="1">
        <f t="array" ref="M129">fc(魚類月份!N129)</f>
        <v>1</v>
      </c>
      <c r="N129" s="33" cm="1">
        <f t="array" ref="N129">fc(魚類月份!O129)</f>
        <v>1</v>
      </c>
      <c r="O129" s="33" cm="1">
        <f t="array" ref="O129">fc(魚類月份!P129)</f>
        <v>1</v>
      </c>
      <c r="P129" s="33" cm="1">
        <f t="array" ref="P129">fc(魚類月份!Q129)</f>
        <v>1</v>
      </c>
      <c r="Q129" s="33" cm="1">
        <f t="array" ref="Q129">fc(魚類月份!R129)</f>
        <v>1</v>
      </c>
      <c r="R129" s="33" cm="1">
        <f t="array" ref="R129">fc(魚類月份!S129)</f>
        <v>1</v>
      </c>
      <c r="S129" s="63"/>
    </row>
    <row r="130" spans="1:19" ht="15" customHeight="1" x14ac:dyDescent="0.2">
      <c r="A130" s="72" t="str">
        <f>SUBSTITUTE(SUBSTITUTE(魚類月份!B130,CHAR(13),","),CHAR(10),",")</f>
        <v>浪人鰺,Giant trevally</v>
      </c>
      <c r="B130" s="68">
        <v>3600</v>
      </c>
      <c r="C130" s="69">
        <f>B130/0.8</f>
        <v>4500</v>
      </c>
      <c r="D130" s="70" t="s">
        <v>216</v>
      </c>
      <c r="E130" s="71" t="s">
        <v>206</v>
      </c>
      <c r="F130" s="37" t="s">
        <v>184</v>
      </c>
      <c r="G130" s="33" cm="1">
        <f t="array" ref="G130">fc(魚類月份!H130)</f>
        <v>0</v>
      </c>
      <c r="H130" s="33" cm="1">
        <f t="array" ref="H130">fc(魚類月份!I130)</f>
        <v>0</v>
      </c>
      <c r="I130" s="33" cm="1">
        <f t="array" ref="I130">fc(魚類月份!J130)</f>
        <v>0</v>
      </c>
      <c r="J130" s="33" cm="1">
        <f t="array" ref="J130">fc(魚類月份!K130)</f>
        <v>0</v>
      </c>
      <c r="K130" s="33" cm="1">
        <f t="array" ref="K130">fc(魚類月份!L130)</f>
        <v>1</v>
      </c>
      <c r="L130" s="33" cm="1">
        <f t="array" ref="L130">fc(魚類月份!M130)</f>
        <v>1</v>
      </c>
      <c r="M130" s="33" cm="1">
        <f t="array" ref="M130">fc(魚類月份!N130)</f>
        <v>1</v>
      </c>
      <c r="N130" s="33" cm="1">
        <f t="array" ref="N130">fc(魚類月份!O130)</f>
        <v>1</v>
      </c>
      <c r="O130" s="33" cm="1">
        <f t="array" ref="O130">fc(魚類月份!P130)</f>
        <v>1</v>
      </c>
      <c r="P130" s="33" cm="1">
        <f t="array" ref="P130">fc(魚類月份!Q130)</f>
        <v>1</v>
      </c>
      <c r="Q130" s="33" cm="1">
        <f t="array" ref="Q130">fc(魚類月份!R130)</f>
        <v>0</v>
      </c>
      <c r="R130" s="33" cm="1">
        <f t="array" ref="R130">fc(魚類月份!S130)</f>
        <v>0</v>
      </c>
      <c r="S130" s="68" t="s">
        <v>197</v>
      </c>
    </row>
    <row r="131" spans="1:19" x14ac:dyDescent="0.2">
      <c r="A131" s="73"/>
      <c r="B131" s="68"/>
      <c r="C131" s="69"/>
      <c r="D131" s="70"/>
      <c r="E131" s="71"/>
      <c r="F131" s="39" t="s">
        <v>198</v>
      </c>
      <c r="G131" s="33" cm="1">
        <f t="array" ref="G131">fc(魚類月份!H131)</f>
        <v>1</v>
      </c>
      <c r="H131" s="33" cm="1">
        <f t="array" ref="H131">fc(魚類月份!I131)</f>
        <v>1</v>
      </c>
      <c r="I131" s="33" cm="1">
        <f t="array" ref="I131">fc(魚類月份!J131)</f>
        <v>1</v>
      </c>
      <c r="J131" s="33" cm="1">
        <f t="array" ref="J131">fc(魚類月份!K131)</f>
        <v>1</v>
      </c>
      <c r="K131" s="33" cm="1">
        <f t="array" ref="K131">fc(魚類月份!L131)</f>
        <v>0</v>
      </c>
      <c r="L131" s="33" cm="1">
        <f t="array" ref="L131">fc(魚類月份!M131)</f>
        <v>0</v>
      </c>
      <c r="M131" s="33" cm="1">
        <f t="array" ref="M131">fc(魚類月份!N131)</f>
        <v>0</v>
      </c>
      <c r="N131" s="33" cm="1">
        <f t="array" ref="N131">fc(魚類月份!O131)</f>
        <v>0</v>
      </c>
      <c r="O131" s="33" cm="1">
        <f t="array" ref="O131">fc(魚類月份!P131)</f>
        <v>0</v>
      </c>
      <c r="P131" s="33" cm="1">
        <f t="array" ref="P131">fc(魚類月份!Q131)</f>
        <v>0</v>
      </c>
      <c r="Q131" s="33" cm="1">
        <f t="array" ref="Q131">fc(魚類月份!R131)</f>
        <v>1</v>
      </c>
      <c r="R131" s="33" cm="1">
        <f t="array" ref="R131">fc(魚類月份!S131)</f>
        <v>1</v>
      </c>
      <c r="S131" s="68"/>
    </row>
    <row r="132" spans="1:19" ht="15" customHeight="1" x14ac:dyDescent="0.2">
      <c r="A132" s="72" t="str">
        <f>SUBSTITUTE(SUBSTITUTE(魚類月份!B132,CHAR(13),","),CHAR(10),",")</f>
        <v>鬼頭刀,Mahi-mahi</v>
      </c>
      <c r="B132" s="63">
        <v>4800</v>
      </c>
      <c r="C132" s="74">
        <f>B132/0.8</f>
        <v>6000</v>
      </c>
      <c r="D132" s="75" t="s">
        <v>216</v>
      </c>
      <c r="E132" s="76" t="s">
        <v>206</v>
      </c>
      <c r="F132" s="32" t="s">
        <v>184</v>
      </c>
      <c r="G132" s="33" cm="1">
        <f t="array" ref="G132">fc(魚類月份!H132)</f>
        <v>0</v>
      </c>
      <c r="H132" s="33" cm="1">
        <f t="array" ref="H132">fc(魚類月份!I132)</f>
        <v>0</v>
      </c>
      <c r="I132" s="33" cm="1">
        <f t="array" ref="I132">fc(魚類月份!J132)</f>
        <v>0</v>
      </c>
      <c r="J132" s="33" cm="1">
        <f t="array" ref="J132">fc(魚類月份!K132)</f>
        <v>0</v>
      </c>
      <c r="K132" s="33" cm="1">
        <f t="array" ref="K132">fc(魚類月份!L132)</f>
        <v>1</v>
      </c>
      <c r="L132" s="33" cm="1">
        <f t="array" ref="L132">fc(魚類月份!M132)</f>
        <v>1</v>
      </c>
      <c r="M132" s="33" cm="1">
        <f t="array" ref="M132">fc(魚類月份!N132)</f>
        <v>1</v>
      </c>
      <c r="N132" s="33" cm="1">
        <f t="array" ref="N132">fc(魚類月份!O132)</f>
        <v>1</v>
      </c>
      <c r="O132" s="33" cm="1">
        <f t="array" ref="O132">fc(魚類月份!P132)</f>
        <v>1</v>
      </c>
      <c r="P132" s="33" cm="1">
        <f t="array" ref="P132">fc(魚類月份!Q132)</f>
        <v>1</v>
      </c>
      <c r="Q132" s="33" cm="1">
        <f t="array" ref="Q132">fc(魚類月份!R132)</f>
        <v>0</v>
      </c>
      <c r="R132" s="33" cm="1">
        <f t="array" ref="R132">fc(魚類月份!S132)</f>
        <v>0</v>
      </c>
      <c r="S132" s="63" t="s">
        <v>197</v>
      </c>
    </row>
    <row r="133" spans="1:19" x14ac:dyDescent="0.2">
      <c r="A133" s="73"/>
      <c r="B133" s="63"/>
      <c r="C133" s="74"/>
      <c r="D133" s="75"/>
      <c r="E133" s="76"/>
      <c r="F133" s="35" t="s">
        <v>198</v>
      </c>
      <c r="G133" s="33" cm="1">
        <f t="array" ref="G133">fc(魚類月份!H133)</f>
        <v>1</v>
      </c>
      <c r="H133" s="33" cm="1">
        <f t="array" ref="H133">fc(魚類月份!I133)</f>
        <v>1</v>
      </c>
      <c r="I133" s="33" cm="1">
        <f t="array" ref="I133">fc(魚類月份!J133)</f>
        <v>1</v>
      </c>
      <c r="J133" s="33" cm="1">
        <f t="array" ref="J133">fc(魚類月份!K133)</f>
        <v>1</v>
      </c>
      <c r="K133" s="33" cm="1">
        <f t="array" ref="K133">fc(魚類月份!L133)</f>
        <v>0</v>
      </c>
      <c r="L133" s="33" cm="1">
        <f t="array" ref="L133">fc(魚類月份!M133)</f>
        <v>0</v>
      </c>
      <c r="M133" s="33" cm="1">
        <f t="array" ref="M133">fc(魚類月份!N133)</f>
        <v>0</v>
      </c>
      <c r="N133" s="33" cm="1">
        <f t="array" ref="N133">fc(魚類月份!O133)</f>
        <v>0</v>
      </c>
      <c r="O133" s="33" cm="1">
        <f t="array" ref="O133">fc(魚類月份!P133)</f>
        <v>0</v>
      </c>
      <c r="P133" s="33" cm="1">
        <f t="array" ref="P133">fc(魚類月份!Q133)</f>
        <v>0</v>
      </c>
      <c r="Q133" s="33" cm="1">
        <f t="array" ref="Q133">fc(魚類月份!R133)</f>
        <v>1</v>
      </c>
      <c r="R133" s="33" cm="1">
        <f t="array" ref="R133">fc(魚類月份!S133)</f>
        <v>1</v>
      </c>
      <c r="S133" s="63"/>
    </row>
    <row r="134" spans="1:19" ht="15" customHeight="1" x14ac:dyDescent="0.2">
      <c r="A134" s="72" t="str">
        <f>SUBSTITUTE(SUBSTITUTE(魚類月份!B134,CHAR(13),","),CHAR(10),",")</f>
        <v>翻車魚,Ocean sunfish</v>
      </c>
      <c r="B134" s="68">
        <v>3200</v>
      </c>
      <c r="C134" s="69">
        <f>B134/0.8</f>
        <v>4000</v>
      </c>
      <c r="D134" s="70" t="s">
        <v>212</v>
      </c>
      <c r="E134" s="71" t="s">
        <v>217</v>
      </c>
      <c r="F134" s="37" t="s">
        <v>184</v>
      </c>
      <c r="G134" s="33" cm="1">
        <f t="array" ref="G134">fc(魚類月份!H134)</f>
        <v>0</v>
      </c>
      <c r="H134" s="33" cm="1">
        <f t="array" ref="H134">fc(魚類月份!I134)</f>
        <v>0</v>
      </c>
      <c r="I134" s="33" cm="1">
        <f t="array" ref="I134">fc(魚類月份!J134)</f>
        <v>0</v>
      </c>
      <c r="J134" s="33" cm="1">
        <f t="array" ref="J134">fc(魚類月份!K134)</f>
        <v>0</v>
      </c>
      <c r="K134" s="33" cm="1">
        <f t="array" ref="K134">fc(魚類月份!L134)</f>
        <v>0</v>
      </c>
      <c r="L134" s="33" cm="1">
        <f t="array" ref="L134">fc(魚類月份!M134)</f>
        <v>0</v>
      </c>
      <c r="M134" s="33" cm="1">
        <f t="array" ref="M134">fc(魚類月份!N134)</f>
        <v>1</v>
      </c>
      <c r="N134" s="33" cm="1">
        <f t="array" ref="N134">fc(魚類月份!O134)</f>
        <v>1</v>
      </c>
      <c r="O134" s="33" cm="1">
        <f t="array" ref="O134">fc(魚類月份!P134)</f>
        <v>1</v>
      </c>
      <c r="P134" s="33" cm="1">
        <f t="array" ref="P134">fc(魚類月份!Q134)</f>
        <v>0</v>
      </c>
      <c r="Q134" s="33" cm="1">
        <f t="array" ref="Q134">fc(魚類月份!R134)</f>
        <v>0</v>
      </c>
      <c r="R134" s="33" cm="1">
        <f t="array" ref="R134">fc(魚類月份!S134)</f>
        <v>0</v>
      </c>
      <c r="S134" s="68" t="s">
        <v>210</v>
      </c>
    </row>
    <row r="135" spans="1:19" x14ac:dyDescent="0.2">
      <c r="A135" s="73"/>
      <c r="B135" s="68"/>
      <c r="C135" s="69"/>
      <c r="D135" s="70"/>
      <c r="E135" s="71"/>
      <c r="F135" s="39" t="s">
        <v>198</v>
      </c>
      <c r="G135" s="33" cm="1">
        <f t="array" ref="G135">fc(魚類月份!H135)</f>
        <v>1</v>
      </c>
      <c r="H135" s="33" cm="1">
        <f t="array" ref="H135">fc(魚類月份!I135)</f>
        <v>1</v>
      </c>
      <c r="I135" s="33" cm="1">
        <f t="array" ref="I135">fc(魚類月份!J135)</f>
        <v>1</v>
      </c>
      <c r="J135" s="33" cm="1">
        <f t="array" ref="J135">fc(魚類月份!K135)</f>
        <v>0</v>
      </c>
      <c r="K135" s="33" cm="1">
        <f t="array" ref="K135">fc(魚類月份!L135)</f>
        <v>0</v>
      </c>
      <c r="L135" s="33" cm="1">
        <f t="array" ref="L135">fc(魚類月份!M135)</f>
        <v>0</v>
      </c>
      <c r="M135" s="33" cm="1">
        <f t="array" ref="M135">fc(魚類月份!N135)</f>
        <v>0</v>
      </c>
      <c r="N135" s="33" cm="1">
        <f t="array" ref="N135">fc(魚類月份!O135)</f>
        <v>0</v>
      </c>
      <c r="O135" s="33" cm="1">
        <f t="array" ref="O135">fc(魚類月份!P135)</f>
        <v>0</v>
      </c>
      <c r="P135" s="33" cm="1">
        <f t="array" ref="P135">fc(魚類月份!Q135)</f>
        <v>0</v>
      </c>
      <c r="Q135" s="33" cm="1">
        <f t="array" ref="Q135">fc(魚類月份!R135)</f>
        <v>0</v>
      </c>
      <c r="R135" s="33" cm="1">
        <f t="array" ref="R135">fc(魚類月份!S135)</f>
        <v>0</v>
      </c>
      <c r="S135" s="68"/>
    </row>
    <row r="136" spans="1:19" ht="15" customHeight="1" x14ac:dyDescent="0.2">
      <c r="A136" s="72" t="str">
        <f>SUBSTITUTE(SUBSTITUTE(魚類月份!B136,CHAR(13),","),CHAR(10),",")</f>
        <v>魟魚,Ray</v>
      </c>
      <c r="B136" s="63">
        <v>2400</v>
      </c>
      <c r="C136" s="74">
        <f>B136/0.8</f>
        <v>3000</v>
      </c>
      <c r="D136" s="75" t="s">
        <v>212</v>
      </c>
      <c r="E136" s="76" t="s">
        <v>206</v>
      </c>
      <c r="F136" s="32" t="s">
        <v>184</v>
      </c>
      <c r="G136" s="33" cm="1">
        <f t="array" ref="G136">fc(魚類月份!H136)</f>
        <v>0</v>
      </c>
      <c r="H136" s="33" cm="1">
        <f t="array" ref="H136">fc(魚類月份!I136)</f>
        <v>0</v>
      </c>
      <c r="I136" s="33" cm="1">
        <f t="array" ref="I136">fc(魚類月份!J136)</f>
        <v>0</v>
      </c>
      <c r="J136" s="33" cm="1">
        <f t="array" ref="J136">fc(魚類月份!K136)</f>
        <v>0</v>
      </c>
      <c r="K136" s="33" cm="1">
        <f t="array" ref="K136">fc(魚類月份!L136)</f>
        <v>0</v>
      </c>
      <c r="L136" s="33" cm="1">
        <f t="array" ref="L136">fc(魚類月份!M136)</f>
        <v>0</v>
      </c>
      <c r="M136" s="33" cm="1">
        <f t="array" ref="M136">fc(魚類月份!N136)</f>
        <v>0</v>
      </c>
      <c r="N136" s="33" cm="1">
        <f t="array" ref="N136">fc(魚類月份!O136)</f>
        <v>1</v>
      </c>
      <c r="O136" s="33" cm="1">
        <f t="array" ref="O136">fc(魚類月份!P136)</f>
        <v>1</v>
      </c>
      <c r="P136" s="33" cm="1">
        <f t="array" ref="P136">fc(魚類月份!Q136)</f>
        <v>1</v>
      </c>
      <c r="Q136" s="33" cm="1">
        <f t="array" ref="Q136">fc(魚類月份!R136)</f>
        <v>1</v>
      </c>
      <c r="R136" s="33" cm="1">
        <f t="array" ref="R136">fc(魚類月份!S136)</f>
        <v>0</v>
      </c>
      <c r="S136" s="63" t="s">
        <v>210</v>
      </c>
    </row>
    <row r="137" spans="1:19" x14ac:dyDescent="0.2">
      <c r="A137" s="73"/>
      <c r="B137" s="63"/>
      <c r="C137" s="74"/>
      <c r="D137" s="75"/>
      <c r="E137" s="76"/>
      <c r="F137" s="35" t="s">
        <v>198</v>
      </c>
      <c r="G137" s="33" cm="1">
        <f t="array" ref="G137">fc(魚類月份!H137)</f>
        <v>0</v>
      </c>
      <c r="H137" s="33" cm="1">
        <f t="array" ref="H137">fc(魚類月份!I137)</f>
        <v>1</v>
      </c>
      <c r="I137" s="33" cm="1">
        <f t="array" ref="I137">fc(魚類月份!J137)</f>
        <v>1</v>
      </c>
      <c r="J137" s="33" cm="1">
        <f t="array" ref="J137">fc(魚類月份!K137)</f>
        <v>1</v>
      </c>
      <c r="K137" s="33" cm="1">
        <f t="array" ref="K137">fc(魚類月份!L137)</f>
        <v>1</v>
      </c>
      <c r="L137" s="33" cm="1">
        <f t="array" ref="L137">fc(魚類月份!M137)</f>
        <v>0</v>
      </c>
      <c r="M137" s="33" cm="1">
        <f t="array" ref="M137">fc(魚類月份!N137)</f>
        <v>0</v>
      </c>
      <c r="N137" s="33" cm="1">
        <f t="array" ref="N137">fc(魚類月份!O137)</f>
        <v>0</v>
      </c>
      <c r="O137" s="33" cm="1">
        <f t="array" ref="O137">fc(魚類月份!P137)</f>
        <v>0</v>
      </c>
      <c r="P137" s="33" cm="1">
        <f t="array" ref="P137">fc(魚類月份!Q137)</f>
        <v>0</v>
      </c>
      <c r="Q137" s="33" cm="1">
        <f t="array" ref="Q137">fc(魚類月份!R137)</f>
        <v>0</v>
      </c>
      <c r="R137" s="33" cm="1">
        <f t="array" ref="R137">fc(魚類月份!S137)</f>
        <v>0</v>
      </c>
      <c r="S137" s="63"/>
    </row>
    <row r="138" spans="1:19" ht="15" customHeight="1" x14ac:dyDescent="0.2">
      <c r="A138" s="72" t="str">
        <f>SUBSTITUTE(SUBSTITUTE(魚類月份!B138,CHAR(13),","),CHAR(10),",")</f>
        <v>鋸鯊,Saw shark</v>
      </c>
      <c r="B138" s="68">
        <v>9600</v>
      </c>
      <c r="C138" s="69">
        <f>B138/0.8</f>
        <v>12000</v>
      </c>
      <c r="D138" s="70" t="s">
        <v>212</v>
      </c>
      <c r="E138" s="71" t="s">
        <v>217</v>
      </c>
      <c r="F138" s="37" t="s">
        <v>184</v>
      </c>
      <c r="G138" s="33" cm="1">
        <f t="array" ref="G138">fc(魚類月份!H138)</f>
        <v>0</v>
      </c>
      <c r="H138" s="33" cm="1">
        <f t="array" ref="H138">fc(魚類月份!I138)</f>
        <v>0</v>
      </c>
      <c r="I138" s="33" cm="1">
        <f t="array" ref="I138">fc(魚類月份!J138)</f>
        <v>0</v>
      </c>
      <c r="J138" s="33" cm="1">
        <f t="array" ref="J138">fc(魚類月份!K138)</f>
        <v>0</v>
      </c>
      <c r="K138" s="33" cm="1">
        <f t="array" ref="K138">fc(魚類月份!L138)</f>
        <v>0</v>
      </c>
      <c r="L138" s="33" cm="1">
        <f t="array" ref="L138">fc(魚類月份!M138)</f>
        <v>1</v>
      </c>
      <c r="M138" s="33" cm="1">
        <f t="array" ref="M138">fc(魚類月份!N138)</f>
        <v>1</v>
      </c>
      <c r="N138" s="33" cm="1">
        <f t="array" ref="N138">fc(魚類月份!O138)</f>
        <v>1</v>
      </c>
      <c r="O138" s="33" cm="1">
        <f t="array" ref="O138">fc(魚類月份!P138)</f>
        <v>1</v>
      </c>
      <c r="P138" s="33" cm="1">
        <f t="array" ref="P138">fc(魚類月份!Q138)</f>
        <v>0</v>
      </c>
      <c r="Q138" s="33" cm="1">
        <f t="array" ref="Q138">fc(魚類月份!R138)</f>
        <v>0</v>
      </c>
      <c r="R138" s="33" cm="1">
        <f t="array" ref="R138">fc(魚類月份!S138)</f>
        <v>0</v>
      </c>
      <c r="S138" s="68" t="s">
        <v>202</v>
      </c>
    </row>
    <row r="139" spans="1:19" x14ac:dyDescent="0.2">
      <c r="A139" s="73"/>
      <c r="B139" s="68"/>
      <c r="C139" s="69"/>
      <c r="D139" s="70"/>
      <c r="E139" s="71"/>
      <c r="F139" s="39" t="s">
        <v>198</v>
      </c>
      <c r="G139" s="33" cm="1">
        <f t="array" ref="G139">fc(魚類月份!H139)</f>
        <v>1</v>
      </c>
      <c r="H139" s="33" cm="1">
        <f t="array" ref="H139">fc(魚類月份!I139)</f>
        <v>1</v>
      </c>
      <c r="I139" s="33" cm="1">
        <f t="array" ref="I139">fc(魚類月份!J139)</f>
        <v>1</v>
      </c>
      <c r="J139" s="33" cm="1">
        <f t="array" ref="J139">fc(魚類月份!K139)</f>
        <v>0</v>
      </c>
      <c r="K139" s="33" cm="1">
        <f t="array" ref="K139">fc(魚類月份!L139)</f>
        <v>0</v>
      </c>
      <c r="L139" s="33" cm="1">
        <f t="array" ref="L139">fc(魚類月份!M139)</f>
        <v>0</v>
      </c>
      <c r="M139" s="33" cm="1">
        <f t="array" ref="M139">fc(魚類月份!N139)</f>
        <v>0</v>
      </c>
      <c r="N139" s="33" cm="1">
        <f t="array" ref="N139">fc(魚類月份!O139)</f>
        <v>0</v>
      </c>
      <c r="O139" s="33" cm="1">
        <f t="array" ref="O139">fc(魚類月份!P139)</f>
        <v>0</v>
      </c>
      <c r="P139" s="33" cm="1">
        <f t="array" ref="P139">fc(魚類月份!Q139)</f>
        <v>0</v>
      </c>
      <c r="Q139" s="33" cm="1">
        <f t="array" ref="Q139">fc(魚類月份!R139)</f>
        <v>0</v>
      </c>
      <c r="R139" s="33" cm="1">
        <f t="array" ref="R139">fc(魚類月份!S139)</f>
        <v>1</v>
      </c>
      <c r="S139" s="68"/>
    </row>
    <row r="140" spans="1:19" ht="15" customHeight="1" x14ac:dyDescent="0.2">
      <c r="A140" s="72" t="str">
        <f>SUBSTITUTE(SUBSTITUTE(魚類月份!B140,CHAR(13),","),CHAR(10),",")</f>
        <v>雙髻鯊,Hammerhead shark</v>
      </c>
      <c r="B140" s="63">
        <v>6400</v>
      </c>
      <c r="C140" s="74">
        <f>B140/0.8</f>
        <v>8000</v>
      </c>
      <c r="D140" s="75" t="s">
        <v>212</v>
      </c>
      <c r="E140" s="76" t="s">
        <v>217</v>
      </c>
      <c r="F140" s="32" t="s">
        <v>184</v>
      </c>
      <c r="G140" s="33" cm="1">
        <f t="array" ref="G140">fc(魚類月份!H140)</f>
        <v>0</v>
      </c>
      <c r="H140" s="33" cm="1">
        <f t="array" ref="H140">fc(魚類月份!I140)</f>
        <v>0</v>
      </c>
      <c r="I140" s="33" cm="1">
        <f t="array" ref="I140">fc(魚類月份!J140)</f>
        <v>0</v>
      </c>
      <c r="J140" s="33" cm="1">
        <f t="array" ref="J140">fc(魚類月份!K140)</f>
        <v>0</v>
      </c>
      <c r="K140" s="33" cm="1">
        <f t="array" ref="K140">fc(魚類月份!L140)</f>
        <v>0</v>
      </c>
      <c r="L140" s="33" cm="1">
        <f t="array" ref="L140">fc(魚類月份!M140)</f>
        <v>1</v>
      </c>
      <c r="M140" s="33" cm="1">
        <f t="array" ref="M140">fc(魚類月份!N140)</f>
        <v>1</v>
      </c>
      <c r="N140" s="33" cm="1">
        <f t="array" ref="N140">fc(魚類月份!O140)</f>
        <v>1</v>
      </c>
      <c r="O140" s="33" cm="1">
        <f t="array" ref="O140">fc(魚類月份!P140)</f>
        <v>1</v>
      </c>
      <c r="P140" s="33" cm="1">
        <f t="array" ref="P140">fc(魚類月份!Q140)</f>
        <v>0</v>
      </c>
      <c r="Q140" s="33" cm="1">
        <f t="array" ref="Q140">fc(魚類月份!R140)</f>
        <v>0</v>
      </c>
      <c r="R140" s="33" cm="1">
        <f t="array" ref="R140">fc(魚類月份!S140)</f>
        <v>0</v>
      </c>
      <c r="S140" s="63" t="s">
        <v>202</v>
      </c>
    </row>
    <row r="141" spans="1:19" x14ac:dyDescent="0.2">
      <c r="A141" s="73"/>
      <c r="B141" s="63"/>
      <c r="C141" s="74"/>
      <c r="D141" s="75"/>
      <c r="E141" s="76"/>
      <c r="F141" s="35" t="s">
        <v>198</v>
      </c>
      <c r="G141" s="33" cm="1">
        <f t="array" ref="G141">fc(魚類月份!H141)</f>
        <v>1</v>
      </c>
      <c r="H141" s="33" cm="1">
        <f t="array" ref="H141">fc(魚類月份!I141)</f>
        <v>1</v>
      </c>
      <c r="I141" s="33" cm="1">
        <f t="array" ref="I141">fc(魚類月份!J141)</f>
        <v>1</v>
      </c>
      <c r="J141" s="33" cm="1">
        <f t="array" ref="J141">fc(魚類月份!K141)</f>
        <v>0</v>
      </c>
      <c r="K141" s="33" cm="1">
        <f t="array" ref="K141">fc(魚類月份!L141)</f>
        <v>0</v>
      </c>
      <c r="L141" s="33" cm="1">
        <f t="array" ref="L141">fc(魚類月份!M141)</f>
        <v>0</v>
      </c>
      <c r="M141" s="33" cm="1">
        <f t="array" ref="M141">fc(魚類月份!N141)</f>
        <v>0</v>
      </c>
      <c r="N141" s="33" cm="1">
        <f t="array" ref="N141">fc(魚類月份!O141)</f>
        <v>0</v>
      </c>
      <c r="O141" s="33" cm="1">
        <f t="array" ref="O141">fc(魚類月份!P141)</f>
        <v>0</v>
      </c>
      <c r="P141" s="33" cm="1">
        <f t="array" ref="P141">fc(魚類月份!Q141)</f>
        <v>0</v>
      </c>
      <c r="Q141" s="33" cm="1">
        <f t="array" ref="Q141">fc(魚類月份!R141)</f>
        <v>0</v>
      </c>
      <c r="R141" s="33" cm="1">
        <f t="array" ref="R141">fc(魚類月份!S141)</f>
        <v>1</v>
      </c>
      <c r="S141" s="63"/>
    </row>
    <row r="142" spans="1:19" ht="15" customHeight="1" x14ac:dyDescent="0.2">
      <c r="A142" s="72" t="str">
        <f>SUBSTITUTE(SUBSTITUTE(魚類月份!B142,CHAR(13),","),CHAR(10),",")</f>
        <v>鯊魚,Great white shark</v>
      </c>
      <c r="B142" s="68">
        <v>12000</v>
      </c>
      <c r="C142" s="69">
        <f>B142/0.8</f>
        <v>15000</v>
      </c>
      <c r="D142" s="70" t="s">
        <v>212</v>
      </c>
      <c r="E142" s="71" t="s">
        <v>217</v>
      </c>
      <c r="F142" s="37" t="s">
        <v>184</v>
      </c>
      <c r="G142" s="33" cm="1">
        <f t="array" ref="G142">fc(魚類月份!H142)</f>
        <v>0</v>
      </c>
      <c r="H142" s="33" cm="1">
        <f t="array" ref="H142">fc(魚類月份!I142)</f>
        <v>0</v>
      </c>
      <c r="I142" s="33" cm="1">
        <f t="array" ref="I142">fc(魚類月份!J142)</f>
        <v>0</v>
      </c>
      <c r="J142" s="33" cm="1">
        <f t="array" ref="J142">fc(魚類月份!K142)</f>
        <v>0</v>
      </c>
      <c r="K142" s="33" cm="1">
        <f t="array" ref="K142">fc(魚類月份!L142)</f>
        <v>0</v>
      </c>
      <c r="L142" s="33" cm="1">
        <f t="array" ref="L142">fc(魚類月份!M142)</f>
        <v>1</v>
      </c>
      <c r="M142" s="33" cm="1">
        <f t="array" ref="M142">fc(魚類月份!N142)</f>
        <v>1</v>
      </c>
      <c r="N142" s="33" cm="1">
        <f t="array" ref="N142">fc(魚類月份!O142)</f>
        <v>1</v>
      </c>
      <c r="O142" s="33" cm="1">
        <f t="array" ref="O142">fc(魚類月份!P142)</f>
        <v>1</v>
      </c>
      <c r="P142" s="33" cm="1">
        <f t="array" ref="P142">fc(魚類月份!Q142)</f>
        <v>0</v>
      </c>
      <c r="Q142" s="33" cm="1">
        <f t="array" ref="Q142">fc(魚類月份!R142)</f>
        <v>0</v>
      </c>
      <c r="R142" s="33" cm="1">
        <f t="array" ref="R142">fc(魚類月份!S142)</f>
        <v>0</v>
      </c>
      <c r="S142" s="68" t="s">
        <v>202</v>
      </c>
    </row>
    <row r="143" spans="1:19" x14ac:dyDescent="0.2">
      <c r="A143" s="73"/>
      <c r="B143" s="68"/>
      <c r="C143" s="69"/>
      <c r="D143" s="70"/>
      <c r="E143" s="71"/>
      <c r="F143" s="39" t="s">
        <v>198</v>
      </c>
      <c r="G143" s="33" cm="1">
        <f t="array" ref="G143">fc(魚類月份!H143)</f>
        <v>1</v>
      </c>
      <c r="H143" s="33" cm="1">
        <f t="array" ref="H143">fc(魚類月份!I143)</f>
        <v>1</v>
      </c>
      <c r="I143" s="33" cm="1">
        <f t="array" ref="I143">fc(魚類月份!J143)</f>
        <v>1</v>
      </c>
      <c r="J143" s="33" cm="1">
        <f t="array" ref="J143">fc(魚類月份!K143)</f>
        <v>0</v>
      </c>
      <c r="K143" s="33" cm="1">
        <f t="array" ref="K143">fc(魚類月份!L143)</f>
        <v>0</v>
      </c>
      <c r="L143" s="33" cm="1">
        <f t="array" ref="L143">fc(魚類月份!M143)</f>
        <v>0</v>
      </c>
      <c r="M143" s="33" cm="1">
        <f t="array" ref="M143">fc(魚類月份!N143)</f>
        <v>0</v>
      </c>
      <c r="N143" s="33" cm="1">
        <f t="array" ref="N143">fc(魚類月份!O143)</f>
        <v>0</v>
      </c>
      <c r="O143" s="33" cm="1">
        <f t="array" ref="O143">fc(魚類月份!P143)</f>
        <v>0</v>
      </c>
      <c r="P143" s="33" cm="1">
        <f t="array" ref="P143">fc(魚類月份!Q143)</f>
        <v>0</v>
      </c>
      <c r="Q143" s="33" cm="1">
        <f t="array" ref="Q143">fc(魚類月份!R143)</f>
        <v>0</v>
      </c>
      <c r="R143" s="33" cm="1">
        <f t="array" ref="R143">fc(魚類月份!S143)</f>
        <v>1</v>
      </c>
      <c r="S143" s="68"/>
    </row>
    <row r="144" spans="1:19" ht="15" customHeight="1" x14ac:dyDescent="0.2">
      <c r="A144" s="72" t="str">
        <f>SUBSTITUTE(SUBSTITUTE(魚類月份!B144,CHAR(13),","),CHAR(10),",")</f>
        <v>鯨鯊,Whale shark</v>
      </c>
      <c r="B144" s="63">
        <v>10400</v>
      </c>
      <c r="C144" s="74">
        <f>B144/0.8</f>
        <v>13000</v>
      </c>
      <c r="D144" s="75" t="s">
        <v>212</v>
      </c>
      <c r="E144" s="76" t="s">
        <v>217</v>
      </c>
      <c r="F144" s="32" t="s">
        <v>184</v>
      </c>
      <c r="G144" s="33" cm="1">
        <f t="array" ref="G144">fc(魚類月份!H144)</f>
        <v>0</v>
      </c>
      <c r="H144" s="33" cm="1">
        <f t="array" ref="H144">fc(魚類月份!I144)</f>
        <v>0</v>
      </c>
      <c r="I144" s="33" cm="1">
        <f t="array" ref="I144">fc(魚類月份!J144)</f>
        <v>0</v>
      </c>
      <c r="J144" s="33" cm="1">
        <f t="array" ref="J144">fc(魚類月份!K144)</f>
        <v>0</v>
      </c>
      <c r="K144" s="33" cm="1">
        <f t="array" ref="K144">fc(魚類月份!L144)</f>
        <v>0</v>
      </c>
      <c r="L144" s="33" cm="1">
        <f t="array" ref="L144">fc(魚類月份!M144)</f>
        <v>1</v>
      </c>
      <c r="M144" s="33" cm="1">
        <f t="array" ref="M144">fc(魚類月份!N144)</f>
        <v>1</v>
      </c>
      <c r="N144" s="33" cm="1">
        <f t="array" ref="N144">fc(魚類月份!O144)</f>
        <v>1</v>
      </c>
      <c r="O144" s="33" cm="1">
        <f t="array" ref="O144">fc(魚類月份!P144)</f>
        <v>1</v>
      </c>
      <c r="P144" s="33" cm="1">
        <f t="array" ref="P144">fc(魚類月份!Q144)</f>
        <v>0</v>
      </c>
      <c r="Q144" s="33" cm="1">
        <f t="array" ref="Q144">fc(魚類月份!R144)</f>
        <v>0</v>
      </c>
      <c r="R144" s="33" cm="1">
        <f t="array" ref="R144">fc(魚類月份!S144)</f>
        <v>0</v>
      </c>
      <c r="S144" s="63" t="s">
        <v>197</v>
      </c>
    </row>
    <row r="145" spans="1:19" x14ac:dyDescent="0.2">
      <c r="A145" s="73"/>
      <c r="B145" s="63"/>
      <c r="C145" s="74"/>
      <c r="D145" s="75"/>
      <c r="E145" s="76"/>
      <c r="F145" s="35" t="s">
        <v>198</v>
      </c>
      <c r="G145" s="33" cm="1">
        <f t="array" ref="G145">fc(魚類月份!H145)</f>
        <v>1</v>
      </c>
      <c r="H145" s="33" cm="1">
        <f t="array" ref="H145">fc(魚類月份!I145)</f>
        <v>1</v>
      </c>
      <c r="I145" s="33" cm="1">
        <f t="array" ref="I145">fc(魚類月份!J145)</f>
        <v>1</v>
      </c>
      <c r="J145" s="33" cm="1">
        <f t="array" ref="J145">fc(魚類月份!K145)</f>
        <v>0</v>
      </c>
      <c r="K145" s="33" cm="1">
        <f t="array" ref="K145">fc(魚類月份!L145)</f>
        <v>0</v>
      </c>
      <c r="L145" s="33" cm="1">
        <f t="array" ref="L145">fc(魚類月份!M145)</f>
        <v>0</v>
      </c>
      <c r="M145" s="33" cm="1">
        <f t="array" ref="M145">fc(魚類月份!N145)</f>
        <v>0</v>
      </c>
      <c r="N145" s="33" cm="1">
        <f t="array" ref="N145">fc(魚類月份!O145)</f>
        <v>0</v>
      </c>
      <c r="O145" s="33" cm="1">
        <f t="array" ref="O145">fc(魚類月份!P145)</f>
        <v>0</v>
      </c>
      <c r="P145" s="33" cm="1">
        <f t="array" ref="P145">fc(魚類月份!Q145)</f>
        <v>0</v>
      </c>
      <c r="Q145" s="33" cm="1">
        <f t="array" ref="Q145">fc(魚類月份!R145)</f>
        <v>0</v>
      </c>
      <c r="R145" s="33" cm="1">
        <f t="array" ref="R145">fc(魚類月份!S145)</f>
        <v>1</v>
      </c>
      <c r="S145" s="63"/>
    </row>
    <row r="146" spans="1:19" ht="15" customHeight="1" x14ac:dyDescent="0.2">
      <c r="A146" s="72" t="str">
        <f>SUBSTITUTE(SUBSTITUTE(魚類月份!B146,CHAR(13),","),CHAR(10),",")</f>
        <v>吸盤魚,Suckerfish</v>
      </c>
      <c r="B146" s="68">
        <v>1200</v>
      </c>
      <c r="C146" s="69">
        <f>B146/0.8</f>
        <v>1500</v>
      </c>
      <c r="D146" s="70" t="s">
        <v>212</v>
      </c>
      <c r="E146" s="71" t="s">
        <v>217</v>
      </c>
      <c r="F146" s="37" t="s">
        <v>184</v>
      </c>
      <c r="G146" s="33" cm="1">
        <f t="array" ref="G146">fc(魚類月份!H146)</f>
        <v>0</v>
      </c>
      <c r="H146" s="33" cm="1">
        <f t="array" ref="H146">fc(魚類月份!I146)</f>
        <v>0</v>
      </c>
      <c r="I146" s="33" cm="1">
        <f t="array" ref="I146">fc(魚類月份!J146)</f>
        <v>0</v>
      </c>
      <c r="J146" s="33" cm="1">
        <f t="array" ref="J146">fc(魚類月份!K146)</f>
        <v>0</v>
      </c>
      <c r="K146" s="33" cm="1">
        <f t="array" ref="K146">fc(魚類月份!L146)</f>
        <v>0</v>
      </c>
      <c r="L146" s="33" cm="1">
        <f t="array" ref="L146">fc(魚類月份!M146)</f>
        <v>1</v>
      </c>
      <c r="M146" s="33" cm="1">
        <f t="array" ref="M146">fc(魚類月份!N146)</f>
        <v>1</v>
      </c>
      <c r="N146" s="33" cm="1">
        <f t="array" ref="N146">fc(魚類月份!O146)</f>
        <v>1</v>
      </c>
      <c r="O146" s="33" cm="1">
        <f t="array" ref="O146">fc(魚類月份!P146)</f>
        <v>1</v>
      </c>
      <c r="P146" s="33" cm="1">
        <f t="array" ref="P146">fc(魚類月份!Q146)</f>
        <v>0</v>
      </c>
      <c r="Q146" s="33" cm="1">
        <f t="array" ref="Q146">fc(魚類月份!R146)</f>
        <v>0</v>
      </c>
      <c r="R146" s="33" cm="1">
        <f t="array" ref="R146">fc(魚類月份!S146)</f>
        <v>0</v>
      </c>
      <c r="S146" s="68" t="s">
        <v>197</v>
      </c>
    </row>
    <row r="147" spans="1:19" x14ac:dyDescent="0.2">
      <c r="A147" s="73"/>
      <c r="B147" s="68"/>
      <c r="C147" s="69"/>
      <c r="D147" s="70"/>
      <c r="E147" s="71"/>
      <c r="F147" s="39" t="s">
        <v>198</v>
      </c>
      <c r="G147" s="33" cm="1">
        <f t="array" ref="G147">fc(魚類月份!H147)</f>
        <v>1</v>
      </c>
      <c r="H147" s="33" cm="1">
        <f t="array" ref="H147">fc(魚類月份!I147)</f>
        <v>1</v>
      </c>
      <c r="I147" s="33" cm="1">
        <f t="array" ref="I147">fc(魚類月份!J147)</f>
        <v>1</v>
      </c>
      <c r="J147" s="33" cm="1">
        <f t="array" ref="J147">fc(魚類月份!K147)</f>
        <v>0</v>
      </c>
      <c r="K147" s="33" cm="1">
        <f t="array" ref="K147">fc(魚類月份!L147)</f>
        <v>0</v>
      </c>
      <c r="L147" s="33" cm="1">
        <f t="array" ref="L147">fc(魚類月份!M147)</f>
        <v>0</v>
      </c>
      <c r="M147" s="33" cm="1">
        <f t="array" ref="M147">fc(魚類月份!N147)</f>
        <v>0</v>
      </c>
      <c r="N147" s="33" cm="1">
        <f t="array" ref="N147">fc(魚類月份!O147)</f>
        <v>0</v>
      </c>
      <c r="O147" s="33" cm="1">
        <f t="array" ref="O147">fc(魚類月份!P147)</f>
        <v>0</v>
      </c>
      <c r="P147" s="33" cm="1">
        <f t="array" ref="P147">fc(魚類月份!Q147)</f>
        <v>0</v>
      </c>
      <c r="Q147" s="33" cm="1">
        <f t="array" ref="Q147">fc(魚類月份!R147)</f>
        <v>0</v>
      </c>
      <c r="R147" s="33" cm="1">
        <f t="array" ref="R147">fc(魚類月份!S147)</f>
        <v>1</v>
      </c>
      <c r="S147" s="68"/>
    </row>
    <row r="148" spans="1:19" ht="15" customHeight="1" x14ac:dyDescent="0.2">
      <c r="A148" s="72" t="str">
        <f>SUBSTITUTE(SUBSTITUTE(魚類月份!B148,CHAR(13),","),CHAR(10),",")</f>
        <v>燈籠魚,Football fish</v>
      </c>
      <c r="B148" s="63">
        <v>2000</v>
      </c>
      <c r="C148" s="74">
        <f>B148/0.8</f>
        <v>2500</v>
      </c>
      <c r="D148" s="75" t="s">
        <v>212</v>
      </c>
      <c r="E148" s="76" t="s">
        <v>204</v>
      </c>
      <c r="F148" s="32" t="s">
        <v>184</v>
      </c>
      <c r="G148" s="33" cm="1">
        <f t="array" ref="G148">fc(魚類月份!H148)</f>
        <v>1</v>
      </c>
      <c r="H148" s="33" cm="1">
        <f t="array" ref="H148">fc(魚類月份!I148)</f>
        <v>1</v>
      </c>
      <c r="I148" s="33" cm="1">
        <f t="array" ref="I148">fc(魚類月份!J148)</f>
        <v>1</v>
      </c>
      <c r="J148" s="33" cm="1">
        <f t="array" ref="J148">fc(魚類月份!K148)</f>
        <v>0</v>
      </c>
      <c r="K148" s="33" cm="1">
        <f t="array" ref="K148">fc(魚類月份!L148)</f>
        <v>0</v>
      </c>
      <c r="L148" s="33" cm="1">
        <f t="array" ref="L148">fc(魚類月份!M148)</f>
        <v>0</v>
      </c>
      <c r="M148" s="33" cm="1">
        <f t="array" ref="M148">fc(魚類月份!N148)</f>
        <v>0</v>
      </c>
      <c r="N148" s="33" cm="1">
        <f t="array" ref="N148">fc(魚類月份!O148)</f>
        <v>0</v>
      </c>
      <c r="O148" s="33" cm="1">
        <f t="array" ref="O148">fc(魚類月份!P148)</f>
        <v>0</v>
      </c>
      <c r="P148" s="33" cm="1">
        <f t="array" ref="P148">fc(魚類月份!Q148)</f>
        <v>0</v>
      </c>
      <c r="Q148" s="33" cm="1">
        <f t="array" ref="Q148">fc(魚類月份!R148)</f>
        <v>1</v>
      </c>
      <c r="R148" s="33" cm="1">
        <f t="array" ref="R148">fc(魚類月份!S148)</f>
        <v>1</v>
      </c>
      <c r="S148" s="63" t="s">
        <v>202</v>
      </c>
    </row>
    <row r="149" spans="1:19" x14ac:dyDescent="0.2">
      <c r="A149" s="73"/>
      <c r="B149" s="63"/>
      <c r="C149" s="74"/>
      <c r="D149" s="75"/>
      <c r="E149" s="76"/>
      <c r="F149" s="35" t="s">
        <v>198</v>
      </c>
      <c r="G149" s="33" cm="1">
        <f t="array" ref="G149">fc(魚類月份!H149)</f>
        <v>0</v>
      </c>
      <c r="H149" s="33" cm="1">
        <f t="array" ref="H149">fc(魚類月份!I149)</f>
        <v>0</v>
      </c>
      <c r="I149" s="33" cm="1">
        <f t="array" ref="I149">fc(魚類月份!J149)</f>
        <v>0</v>
      </c>
      <c r="J149" s="33" cm="1">
        <f t="array" ref="J149">fc(魚類月份!K149)</f>
        <v>0</v>
      </c>
      <c r="K149" s="33" cm="1">
        <f t="array" ref="K149">fc(魚類月份!L149)</f>
        <v>1</v>
      </c>
      <c r="L149" s="33" cm="1">
        <f t="array" ref="L149">fc(魚類月份!M149)</f>
        <v>1</v>
      </c>
      <c r="M149" s="33" cm="1">
        <f t="array" ref="M149">fc(魚類月份!N149)</f>
        <v>1</v>
      </c>
      <c r="N149" s="33" cm="1">
        <f t="array" ref="N149">fc(魚類月份!O149)</f>
        <v>1</v>
      </c>
      <c r="O149" s="33" cm="1">
        <f t="array" ref="O149">fc(魚類月份!P149)</f>
        <v>1</v>
      </c>
      <c r="P149" s="33" cm="1">
        <f t="array" ref="P149">fc(魚類月份!Q149)</f>
        <v>0</v>
      </c>
      <c r="Q149" s="33" cm="1">
        <f t="array" ref="Q149">fc(魚類月份!R149)</f>
        <v>0</v>
      </c>
      <c r="R149" s="33" cm="1">
        <f t="array" ref="R149">fc(魚類月份!S149)</f>
        <v>0</v>
      </c>
      <c r="S149" s="63"/>
    </row>
    <row r="150" spans="1:19" ht="15" customHeight="1" x14ac:dyDescent="0.2">
      <c r="A150" s="72" t="str">
        <f>SUBSTITUTE(SUBSTITUTE(魚類月份!B150,CHAR(13),","),CHAR(10),",")</f>
        <v>皇帶魚,Oarfish</v>
      </c>
      <c r="B150" s="68">
        <v>7200</v>
      </c>
      <c r="C150" s="69">
        <f>B150/0.8</f>
        <v>9000</v>
      </c>
      <c r="D150" s="70" t="s">
        <v>212</v>
      </c>
      <c r="E150" s="71" t="s">
        <v>211</v>
      </c>
      <c r="F150" s="37" t="s">
        <v>184</v>
      </c>
      <c r="G150" s="33" cm="1">
        <f t="array" ref="G150">fc(魚類月份!H150)</f>
        <v>1</v>
      </c>
      <c r="H150" s="33" cm="1">
        <f t="array" ref="H150">fc(魚類月份!I150)</f>
        <v>1</v>
      </c>
      <c r="I150" s="33" cm="1">
        <f t="array" ref="I150">fc(魚類月份!J150)</f>
        <v>1</v>
      </c>
      <c r="J150" s="33" cm="1">
        <f t="array" ref="J150">fc(魚類月份!K150)</f>
        <v>1</v>
      </c>
      <c r="K150" s="33" cm="1">
        <f t="array" ref="K150">fc(魚類月份!L150)</f>
        <v>1</v>
      </c>
      <c r="L150" s="33" cm="1">
        <f t="array" ref="L150">fc(魚類月份!M150)</f>
        <v>0</v>
      </c>
      <c r="M150" s="33" cm="1">
        <f t="array" ref="M150">fc(魚類月份!N150)</f>
        <v>0</v>
      </c>
      <c r="N150" s="33" cm="1">
        <f t="array" ref="N150">fc(魚類月份!O150)</f>
        <v>0</v>
      </c>
      <c r="O150" s="33" cm="1">
        <f t="array" ref="O150">fc(魚類月份!P150)</f>
        <v>0</v>
      </c>
      <c r="P150" s="33" cm="1">
        <f t="array" ref="P150">fc(魚類月份!Q150)</f>
        <v>0</v>
      </c>
      <c r="Q150" s="33" cm="1">
        <f t="array" ref="Q150">fc(魚類月份!R150)</f>
        <v>0</v>
      </c>
      <c r="R150" s="33" cm="1">
        <f t="array" ref="R150">fc(魚類月份!S150)</f>
        <v>1</v>
      </c>
      <c r="S150" s="68" t="s">
        <v>197</v>
      </c>
    </row>
    <row r="151" spans="1:19" x14ac:dyDescent="0.2">
      <c r="A151" s="73"/>
      <c r="B151" s="68"/>
      <c r="C151" s="69"/>
      <c r="D151" s="70"/>
      <c r="E151" s="71"/>
      <c r="F151" s="39" t="s">
        <v>198</v>
      </c>
      <c r="G151" s="33" cm="1">
        <f t="array" ref="G151">fc(魚類月份!H151)</f>
        <v>0</v>
      </c>
      <c r="H151" s="33" cm="1">
        <f t="array" ref="H151">fc(魚類月份!I151)</f>
        <v>0</v>
      </c>
      <c r="I151" s="33" cm="1">
        <f t="array" ref="I151">fc(魚類月份!J151)</f>
        <v>0</v>
      </c>
      <c r="J151" s="33" cm="1">
        <f t="array" ref="J151">fc(魚類月份!K151)</f>
        <v>0</v>
      </c>
      <c r="K151" s="33" cm="1">
        <f t="array" ref="K151">fc(魚類月份!L151)</f>
        <v>0</v>
      </c>
      <c r="L151" s="33" cm="1">
        <f t="array" ref="L151">fc(魚類月份!M151)</f>
        <v>1</v>
      </c>
      <c r="M151" s="33" cm="1">
        <f t="array" ref="M151">fc(魚類月份!N151)</f>
        <v>1</v>
      </c>
      <c r="N151" s="33" cm="1">
        <f t="array" ref="N151">fc(魚類月份!O151)</f>
        <v>1</v>
      </c>
      <c r="O151" s="33" cm="1">
        <f t="array" ref="O151">fc(魚類月份!P151)</f>
        <v>1</v>
      </c>
      <c r="P151" s="33" cm="1">
        <f t="array" ref="P151">fc(魚類月份!Q151)</f>
        <v>1</v>
      </c>
      <c r="Q151" s="33" cm="1">
        <f t="array" ref="Q151">fc(魚類月份!R151)</f>
        <v>1</v>
      </c>
      <c r="R151" s="33" cm="1">
        <f t="array" ref="R151">fc(魚類月份!S151)</f>
        <v>0</v>
      </c>
      <c r="S151" s="68"/>
    </row>
    <row r="152" spans="1:19" ht="15" customHeight="1" x14ac:dyDescent="0.2">
      <c r="A152" s="72" t="str">
        <f>SUBSTITUTE(SUBSTITUTE(魚類月份!B152,CHAR(13),","),CHAR(10),",")</f>
        <v>太平洋桶眼魚,Barreleye</v>
      </c>
      <c r="B152" s="63">
        <v>12000</v>
      </c>
      <c r="C152" s="74">
        <f>B152/0.8</f>
        <v>15000</v>
      </c>
      <c r="D152" s="75" t="s">
        <v>212</v>
      </c>
      <c r="E152" s="76" t="s">
        <v>200</v>
      </c>
      <c r="F152" s="32" t="s">
        <v>184</v>
      </c>
      <c r="G152" s="33" cm="1">
        <f t="array" ref="G152">fc(魚類月份!H152)</f>
        <v>1</v>
      </c>
      <c r="H152" s="33" cm="1">
        <f t="array" ref="H152">fc(魚類月份!I152)</f>
        <v>1</v>
      </c>
      <c r="I152" s="33" cm="1">
        <f t="array" ref="I152">fc(魚類月份!J152)</f>
        <v>1</v>
      </c>
      <c r="J152" s="33" cm="1">
        <f t="array" ref="J152">fc(魚類月份!K152)</f>
        <v>1</v>
      </c>
      <c r="K152" s="33" cm="1">
        <f t="array" ref="K152">fc(魚類月份!L152)</f>
        <v>1</v>
      </c>
      <c r="L152" s="33" cm="1">
        <f t="array" ref="L152">fc(魚類月份!M152)</f>
        <v>1</v>
      </c>
      <c r="M152" s="33" cm="1">
        <f t="array" ref="M152">fc(魚類月份!N152)</f>
        <v>1</v>
      </c>
      <c r="N152" s="33" cm="1">
        <f t="array" ref="N152">fc(魚類月份!O152)</f>
        <v>1</v>
      </c>
      <c r="O152" s="33" cm="1">
        <f t="array" ref="O152">fc(魚類月份!P152)</f>
        <v>1</v>
      </c>
      <c r="P152" s="33" cm="1">
        <f t="array" ref="P152">fc(魚類月份!Q152)</f>
        <v>1</v>
      </c>
      <c r="Q152" s="33" cm="1">
        <f t="array" ref="Q152">fc(魚類月份!R152)</f>
        <v>1</v>
      </c>
      <c r="R152" s="33" cm="1">
        <f t="array" ref="R152">fc(魚類月份!S152)</f>
        <v>1</v>
      </c>
      <c r="S152" s="63" t="s">
        <v>205</v>
      </c>
    </row>
    <row r="153" spans="1:19" x14ac:dyDescent="0.2">
      <c r="A153" s="73"/>
      <c r="B153" s="63"/>
      <c r="C153" s="74"/>
      <c r="D153" s="75"/>
      <c r="E153" s="76"/>
      <c r="F153" s="35" t="s">
        <v>198</v>
      </c>
      <c r="G153" s="33" cm="1">
        <f t="array" ref="G153">fc(魚類月份!H153)</f>
        <v>1</v>
      </c>
      <c r="H153" s="33" cm="1">
        <f t="array" ref="H153">fc(魚類月份!I153)</f>
        <v>1</v>
      </c>
      <c r="I153" s="33" cm="1">
        <f t="array" ref="I153">fc(魚類月份!J153)</f>
        <v>1</v>
      </c>
      <c r="J153" s="33" cm="1">
        <f t="array" ref="J153">fc(魚類月份!K153)</f>
        <v>1</v>
      </c>
      <c r="K153" s="33" cm="1">
        <f t="array" ref="K153">fc(魚類月份!L153)</f>
        <v>1</v>
      </c>
      <c r="L153" s="33" cm="1">
        <f t="array" ref="L153">fc(魚類月份!M153)</f>
        <v>1</v>
      </c>
      <c r="M153" s="33" cm="1">
        <f t="array" ref="M153">fc(魚類月份!N153)</f>
        <v>1</v>
      </c>
      <c r="N153" s="33" cm="1">
        <f t="array" ref="N153">fc(魚類月份!O153)</f>
        <v>1</v>
      </c>
      <c r="O153" s="33" cm="1">
        <f t="array" ref="O153">fc(魚類月份!P153)</f>
        <v>1</v>
      </c>
      <c r="P153" s="33" cm="1">
        <f t="array" ref="P153">fc(魚類月份!Q153)</f>
        <v>1</v>
      </c>
      <c r="Q153" s="33" cm="1">
        <f t="array" ref="Q153">fc(魚類月份!R153)</f>
        <v>1</v>
      </c>
      <c r="R153" s="33" cm="1">
        <f t="array" ref="R153">fc(魚類月份!S153)</f>
        <v>1</v>
      </c>
      <c r="S153" s="63"/>
    </row>
    <row r="154" spans="1:19" ht="15" customHeight="1" x14ac:dyDescent="0.2">
      <c r="A154" s="72" t="str">
        <f>SUBSTITUTE(SUBSTITUTE(魚類月份!B154,CHAR(13),","),CHAR(10),",")</f>
        <v>矛尾魚,Coelacanth</v>
      </c>
      <c r="B154" s="68">
        <v>12000</v>
      </c>
      <c r="C154" s="69">
        <f>B154/0.8</f>
        <v>15000</v>
      </c>
      <c r="D154" s="70" t="s">
        <v>218</v>
      </c>
      <c r="E154" s="71" t="s">
        <v>211</v>
      </c>
      <c r="F154" s="37" t="s">
        <v>184</v>
      </c>
      <c r="G154" s="33" cm="1">
        <f t="array" ref="G154">fc(魚類月份!H154)</f>
        <v>1</v>
      </c>
      <c r="H154" s="33" cm="1">
        <f t="array" ref="H154">fc(魚類月份!I154)</f>
        <v>1</v>
      </c>
      <c r="I154" s="33" cm="1">
        <f t="array" ref="I154">fc(魚類月份!J154)</f>
        <v>1</v>
      </c>
      <c r="J154" s="33" cm="1">
        <f t="array" ref="J154">fc(魚類月份!K154)</f>
        <v>1</v>
      </c>
      <c r="K154" s="33" cm="1">
        <f t="array" ref="K154">fc(魚類月份!L154)</f>
        <v>1</v>
      </c>
      <c r="L154" s="33" cm="1">
        <f t="array" ref="L154">fc(魚類月份!M154)</f>
        <v>1</v>
      </c>
      <c r="M154" s="33" cm="1">
        <f t="array" ref="M154">fc(魚類月份!N154)</f>
        <v>1</v>
      </c>
      <c r="N154" s="33" cm="1">
        <f t="array" ref="N154">fc(魚類月份!O154)</f>
        <v>1</v>
      </c>
      <c r="O154" s="33" cm="1">
        <f t="array" ref="O154">fc(魚類月份!P154)</f>
        <v>1</v>
      </c>
      <c r="P154" s="33" cm="1">
        <f t="array" ref="P154">fc(魚類月份!Q154)</f>
        <v>1</v>
      </c>
      <c r="Q154" s="33" cm="1">
        <f t="array" ref="Q154">fc(魚類月份!R154)</f>
        <v>1</v>
      </c>
      <c r="R154" s="33" cm="1">
        <f t="array" ref="R154">fc(魚類月份!S154)</f>
        <v>1</v>
      </c>
      <c r="S154" s="68" t="s">
        <v>197</v>
      </c>
    </row>
    <row r="155" spans="1:19" x14ac:dyDescent="0.2">
      <c r="A155" s="73"/>
      <c r="B155" s="68"/>
      <c r="C155" s="69"/>
      <c r="D155" s="70"/>
      <c r="E155" s="71"/>
      <c r="F155" s="39" t="s">
        <v>198</v>
      </c>
      <c r="G155" s="33" cm="1">
        <f t="array" ref="G155">fc(魚類月份!H155)</f>
        <v>1</v>
      </c>
      <c r="H155" s="33" cm="1">
        <f t="array" ref="H155">fc(魚類月份!I155)</f>
        <v>1</v>
      </c>
      <c r="I155" s="33" cm="1">
        <f t="array" ref="I155">fc(魚類月份!J155)</f>
        <v>1</v>
      </c>
      <c r="J155" s="33" cm="1">
        <f t="array" ref="J155">fc(魚類月份!K155)</f>
        <v>1</v>
      </c>
      <c r="K155" s="33" cm="1">
        <f t="array" ref="K155">fc(魚類月份!L155)</f>
        <v>1</v>
      </c>
      <c r="L155" s="33" cm="1">
        <f t="array" ref="L155">fc(魚類月份!M155)</f>
        <v>1</v>
      </c>
      <c r="M155" s="33" cm="1">
        <f t="array" ref="M155">fc(魚類月份!N155)</f>
        <v>1</v>
      </c>
      <c r="N155" s="33" cm="1">
        <f t="array" ref="N155">fc(魚類月份!O155)</f>
        <v>1</v>
      </c>
      <c r="O155" s="33" cm="1">
        <f t="array" ref="O155">fc(魚類月份!P155)</f>
        <v>1</v>
      </c>
      <c r="P155" s="33" cm="1">
        <f t="array" ref="P155">fc(魚類月份!Q155)</f>
        <v>1</v>
      </c>
      <c r="Q155" s="33" cm="1">
        <f t="array" ref="Q155">fc(魚類月份!R155)</f>
        <v>1</v>
      </c>
      <c r="R155" s="33" cm="1">
        <f t="array" ref="R155">fc(魚類月份!S155)</f>
        <v>1</v>
      </c>
      <c r="S155" s="68"/>
    </row>
  </sheetData>
  <mergeCells count="462">
    <mergeCell ref="A2:A3"/>
    <mergeCell ref="B2:B3"/>
    <mergeCell ref="C2:C3"/>
    <mergeCell ref="D2:D3"/>
    <mergeCell ref="E2:E3"/>
    <mergeCell ref="S2:S3"/>
    <mergeCell ref="A6:A7"/>
    <mergeCell ref="B6:B7"/>
    <mergeCell ref="C6:C7"/>
    <mergeCell ref="D6:D7"/>
    <mergeCell ref="E6:E7"/>
    <mergeCell ref="S6:S7"/>
    <mergeCell ref="A4:A5"/>
    <mergeCell ref="B4:B5"/>
    <mergeCell ref="C4:C5"/>
    <mergeCell ref="D4:D5"/>
    <mergeCell ref="E4:E5"/>
    <mergeCell ref="S4:S5"/>
    <mergeCell ref="A10:A11"/>
    <mergeCell ref="B10:B11"/>
    <mergeCell ref="C10:C11"/>
    <mergeCell ref="D10:D11"/>
    <mergeCell ref="E10:E11"/>
    <mergeCell ref="S10:S11"/>
    <mergeCell ref="A8:A9"/>
    <mergeCell ref="B8:B9"/>
    <mergeCell ref="C8:C9"/>
    <mergeCell ref="D8:D9"/>
    <mergeCell ref="E8:E9"/>
    <mergeCell ref="S8:S9"/>
    <mergeCell ref="A14:A15"/>
    <mergeCell ref="B14:B15"/>
    <mergeCell ref="C14:C15"/>
    <mergeCell ref="D14:D15"/>
    <mergeCell ref="E14:E15"/>
    <mergeCell ref="S14:S15"/>
    <mergeCell ref="A12:A13"/>
    <mergeCell ref="B12:B13"/>
    <mergeCell ref="C12:C13"/>
    <mergeCell ref="D12:D13"/>
    <mergeCell ref="E12:E13"/>
    <mergeCell ref="S12:S13"/>
    <mergeCell ref="A18:A19"/>
    <mergeCell ref="B18:B19"/>
    <mergeCell ref="C18:C19"/>
    <mergeCell ref="D18:D19"/>
    <mergeCell ref="E18:E19"/>
    <mergeCell ref="S18:S19"/>
    <mergeCell ref="A16:A17"/>
    <mergeCell ref="B16:B17"/>
    <mergeCell ref="C16:C17"/>
    <mergeCell ref="D16:D17"/>
    <mergeCell ref="E16:E17"/>
    <mergeCell ref="S16:S17"/>
    <mergeCell ref="A22:A23"/>
    <mergeCell ref="B22:B23"/>
    <mergeCell ref="C22:C23"/>
    <mergeCell ref="D22:D23"/>
    <mergeCell ref="E22:E23"/>
    <mergeCell ref="S22:S23"/>
    <mergeCell ref="A20:A21"/>
    <mergeCell ref="B20:B21"/>
    <mergeCell ref="C20:C21"/>
    <mergeCell ref="D20:D21"/>
    <mergeCell ref="E20:E21"/>
    <mergeCell ref="S20:S21"/>
    <mergeCell ref="A26:A27"/>
    <mergeCell ref="B26:B27"/>
    <mergeCell ref="C26:C27"/>
    <mergeCell ref="D26:D27"/>
    <mergeCell ref="E26:E27"/>
    <mergeCell ref="S26:S27"/>
    <mergeCell ref="A24:A25"/>
    <mergeCell ref="B24:B25"/>
    <mergeCell ref="C24:C25"/>
    <mergeCell ref="D24:D25"/>
    <mergeCell ref="E24:E25"/>
    <mergeCell ref="S24:S25"/>
    <mergeCell ref="A30:A31"/>
    <mergeCell ref="B30:B31"/>
    <mergeCell ref="C30:C31"/>
    <mergeCell ref="D30:D31"/>
    <mergeCell ref="E30:E31"/>
    <mergeCell ref="S30:S31"/>
    <mergeCell ref="A28:A29"/>
    <mergeCell ref="B28:B29"/>
    <mergeCell ref="C28:C29"/>
    <mergeCell ref="D28:D29"/>
    <mergeCell ref="E28:E29"/>
    <mergeCell ref="S28:S29"/>
    <mergeCell ref="A34:A35"/>
    <mergeCell ref="B34:B35"/>
    <mergeCell ref="C34:C35"/>
    <mergeCell ref="D34:D35"/>
    <mergeCell ref="E34:E35"/>
    <mergeCell ref="S34:S35"/>
    <mergeCell ref="A32:A33"/>
    <mergeCell ref="B32:B33"/>
    <mergeCell ref="C32:C33"/>
    <mergeCell ref="D32:D33"/>
    <mergeCell ref="E32:E33"/>
    <mergeCell ref="S32:S33"/>
    <mergeCell ref="A38:A39"/>
    <mergeCell ref="B38:B39"/>
    <mergeCell ref="C38:C39"/>
    <mergeCell ref="D38:D39"/>
    <mergeCell ref="E38:E39"/>
    <mergeCell ref="S38:S39"/>
    <mergeCell ref="A36:A37"/>
    <mergeCell ref="B36:B37"/>
    <mergeCell ref="C36:C37"/>
    <mergeCell ref="D36:D37"/>
    <mergeCell ref="E36:E37"/>
    <mergeCell ref="S36:S37"/>
    <mergeCell ref="A42:A43"/>
    <mergeCell ref="B42:B43"/>
    <mergeCell ref="C42:C43"/>
    <mergeCell ref="D42:D43"/>
    <mergeCell ref="E42:E43"/>
    <mergeCell ref="S42:S43"/>
    <mergeCell ref="A40:A41"/>
    <mergeCell ref="B40:B41"/>
    <mergeCell ref="C40:C41"/>
    <mergeCell ref="D40:D41"/>
    <mergeCell ref="E40:E41"/>
    <mergeCell ref="S40:S41"/>
    <mergeCell ref="A46:A47"/>
    <mergeCell ref="B46:B47"/>
    <mergeCell ref="C46:C47"/>
    <mergeCell ref="D46:D47"/>
    <mergeCell ref="E46:E47"/>
    <mergeCell ref="S46:S47"/>
    <mergeCell ref="A44:A45"/>
    <mergeCell ref="B44:B45"/>
    <mergeCell ref="C44:C45"/>
    <mergeCell ref="D44:D45"/>
    <mergeCell ref="E44:E45"/>
    <mergeCell ref="S44:S45"/>
    <mergeCell ref="A50:A51"/>
    <mergeCell ref="B50:B51"/>
    <mergeCell ref="C50:C51"/>
    <mergeCell ref="D50:D51"/>
    <mergeCell ref="E50:E51"/>
    <mergeCell ref="S50:S51"/>
    <mergeCell ref="A48:A49"/>
    <mergeCell ref="B48:B49"/>
    <mergeCell ref="C48:C49"/>
    <mergeCell ref="D48:D49"/>
    <mergeCell ref="E48:E49"/>
    <mergeCell ref="S48:S49"/>
    <mergeCell ref="A54:A55"/>
    <mergeCell ref="B54:B55"/>
    <mergeCell ref="C54:C55"/>
    <mergeCell ref="D54:D55"/>
    <mergeCell ref="E54:E55"/>
    <mergeCell ref="S54:S55"/>
    <mergeCell ref="A52:A53"/>
    <mergeCell ref="B52:B53"/>
    <mergeCell ref="C52:C53"/>
    <mergeCell ref="D52:D53"/>
    <mergeCell ref="E52:E53"/>
    <mergeCell ref="S52:S53"/>
    <mergeCell ref="A58:A59"/>
    <mergeCell ref="B58:B59"/>
    <mergeCell ref="C58:C59"/>
    <mergeCell ref="D58:D59"/>
    <mergeCell ref="E58:E59"/>
    <mergeCell ref="S58:S59"/>
    <mergeCell ref="A56:A57"/>
    <mergeCell ref="B56:B57"/>
    <mergeCell ref="C56:C57"/>
    <mergeCell ref="D56:D57"/>
    <mergeCell ref="E56:E57"/>
    <mergeCell ref="S56:S57"/>
    <mergeCell ref="A62:A63"/>
    <mergeCell ref="B62:B63"/>
    <mergeCell ref="C62:C63"/>
    <mergeCell ref="D62:D63"/>
    <mergeCell ref="E62:E63"/>
    <mergeCell ref="S62:S63"/>
    <mergeCell ref="A60:A61"/>
    <mergeCell ref="B60:B61"/>
    <mergeCell ref="C60:C61"/>
    <mergeCell ref="D60:D61"/>
    <mergeCell ref="E60:E61"/>
    <mergeCell ref="S60:S61"/>
    <mergeCell ref="A66:A67"/>
    <mergeCell ref="B66:B67"/>
    <mergeCell ref="C66:C67"/>
    <mergeCell ref="D66:D67"/>
    <mergeCell ref="E66:E67"/>
    <mergeCell ref="S66:S67"/>
    <mergeCell ref="A64:A65"/>
    <mergeCell ref="B64:B65"/>
    <mergeCell ref="C64:C65"/>
    <mergeCell ref="D64:D65"/>
    <mergeCell ref="E64:E65"/>
    <mergeCell ref="S64:S65"/>
    <mergeCell ref="A70:A71"/>
    <mergeCell ref="B70:B71"/>
    <mergeCell ref="C70:C71"/>
    <mergeCell ref="D70:D71"/>
    <mergeCell ref="E70:E71"/>
    <mergeCell ref="S70:S71"/>
    <mergeCell ref="A68:A69"/>
    <mergeCell ref="B68:B69"/>
    <mergeCell ref="C68:C69"/>
    <mergeCell ref="D68:D69"/>
    <mergeCell ref="E68:E69"/>
    <mergeCell ref="S68:S69"/>
    <mergeCell ref="A74:A75"/>
    <mergeCell ref="B74:B75"/>
    <mergeCell ref="C74:C75"/>
    <mergeCell ref="D74:D75"/>
    <mergeCell ref="E74:E75"/>
    <mergeCell ref="S74:S75"/>
    <mergeCell ref="A72:A73"/>
    <mergeCell ref="B72:B73"/>
    <mergeCell ref="C72:C73"/>
    <mergeCell ref="D72:D73"/>
    <mergeCell ref="E72:E73"/>
    <mergeCell ref="S72:S73"/>
    <mergeCell ref="A78:A79"/>
    <mergeCell ref="B78:B79"/>
    <mergeCell ref="C78:C79"/>
    <mergeCell ref="D78:D79"/>
    <mergeCell ref="E78:E79"/>
    <mergeCell ref="S78:S79"/>
    <mergeCell ref="A76:A77"/>
    <mergeCell ref="B76:B77"/>
    <mergeCell ref="C76:C77"/>
    <mergeCell ref="D76:D77"/>
    <mergeCell ref="E76:E77"/>
    <mergeCell ref="S76:S77"/>
    <mergeCell ref="A82:A83"/>
    <mergeCell ref="B82:B83"/>
    <mergeCell ref="C82:C83"/>
    <mergeCell ref="D82:D83"/>
    <mergeCell ref="E82:E83"/>
    <mergeCell ref="S82:S83"/>
    <mergeCell ref="A80:A81"/>
    <mergeCell ref="B80:B81"/>
    <mergeCell ref="C80:C81"/>
    <mergeCell ref="D80:D81"/>
    <mergeCell ref="E80:E81"/>
    <mergeCell ref="S80:S81"/>
    <mergeCell ref="A86:A87"/>
    <mergeCell ref="B86:B87"/>
    <mergeCell ref="C86:C87"/>
    <mergeCell ref="D86:D87"/>
    <mergeCell ref="E86:E87"/>
    <mergeCell ref="S86:S87"/>
    <mergeCell ref="A84:A85"/>
    <mergeCell ref="B84:B85"/>
    <mergeCell ref="C84:C85"/>
    <mergeCell ref="D84:D85"/>
    <mergeCell ref="E84:E85"/>
    <mergeCell ref="S84:S85"/>
    <mergeCell ref="A90:A91"/>
    <mergeCell ref="B90:B91"/>
    <mergeCell ref="C90:C91"/>
    <mergeCell ref="D90:D91"/>
    <mergeCell ref="E90:E91"/>
    <mergeCell ref="S90:S91"/>
    <mergeCell ref="A88:A89"/>
    <mergeCell ref="B88:B89"/>
    <mergeCell ref="C88:C89"/>
    <mergeCell ref="D88:D89"/>
    <mergeCell ref="E88:E89"/>
    <mergeCell ref="S88:S89"/>
    <mergeCell ref="A94:A95"/>
    <mergeCell ref="B94:B95"/>
    <mergeCell ref="C94:C95"/>
    <mergeCell ref="D94:D95"/>
    <mergeCell ref="E94:E95"/>
    <mergeCell ref="S94:S95"/>
    <mergeCell ref="A92:A93"/>
    <mergeCell ref="B92:B93"/>
    <mergeCell ref="C92:C93"/>
    <mergeCell ref="D92:D93"/>
    <mergeCell ref="E92:E93"/>
    <mergeCell ref="S92:S93"/>
    <mergeCell ref="A98:A99"/>
    <mergeCell ref="B98:B99"/>
    <mergeCell ref="C98:C99"/>
    <mergeCell ref="D98:D99"/>
    <mergeCell ref="E98:E99"/>
    <mergeCell ref="S98:S99"/>
    <mergeCell ref="A96:A97"/>
    <mergeCell ref="B96:B97"/>
    <mergeCell ref="C96:C97"/>
    <mergeCell ref="D96:D97"/>
    <mergeCell ref="E96:E97"/>
    <mergeCell ref="S96:S97"/>
    <mergeCell ref="A102:A103"/>
    <mergeCell ref="B102:B103"/>
    <mergeCell ref="C102:C103"/>
    <mergeCell ref="D102:D103"/>
    <mergeCell ref="E102:E103"/>
    <mergeCell ref="S102:S103"/>
    <mergeCell ref="A100:A101"/>
    <mergeCell ref="B100:B101"/>
    <mergeCell ref="C100:C101"/>
    <mergeCell ref="D100:D101"/>
    <mergeCell ref="E100:E101"/>
    <mergeCell ref="S100:S101"/>
    <mergeCell ref="A106:A107"/>
    <mergeCell ref="B106:B107"/>
    <mergeCell ref="C106:C107"/>
    <mergeCell ref="D106:D107"/>
    <mergeCell ref="E106:E107"/>
    <mergeCell ref="S106:S107"/>
    <mergeCell ref="A104:A105"/>
    <mergeCell ref="B104:B105"/>
    <mergeCell ref="C104:C105"/>
    <mergeCell ref="D104:D105"/>
    <mergeCell ref="E104:E105"/>
    <mergeCell ref="S104:S105"/>
    <mergeCell ref="A110:A111"/>
    <mergeCell ref="B110:B111"/>
    <mergeCell ref="C110:C111"/>
    <mergeCell ref="D110:D111"/>
    <mergeCell ref="E110:E111"/>
    <mergeCell ref="S110:S111"/>
    <mergeCell ref="A108:A109"/>
    <mergeCell ref="B108:B109"/>
    <mergeCell ref="C108:C109"/>
    <mergeCell ref="D108:D109"/>
    <mergeCell ref="E108:E109"/>
    <mergeCell ref="S108:S109"/>
    <mergeCell ref="A114:A115"/>
    <mergeCell ref="B114:B115"/>
    <mergeCell ref="C114:C115"/>
    <mergeCell ref="D114:D115"/>
    <mergeCell ref="E114:E115"/>
    <mergeCell ref="S114:S115"/>
    <mergeCell ref="A112:A113"/>
    <mergeCell ref="B112:B113"/>
    <mergeCell ref="C112:C113"/>
    <mergeCell ref="D112:D113"/>
    <mergeCell ref="E112:E113"/>
    <mergeCell ref="S112:S113"/>
    <mergeCell ref="A118:A119"/>
    <mergeCell ref="B118:B119"/>
    <mergeCell ref="C118:C119"/>
    <mergeCell ref="D118:D119"/>
    <mergeCell ref="E118:E119"/>
    <mergeCell ref="S118:S119"/>
    <mergeCell ref="A116:A117"/>
    <mergeCell ref="B116:B117"/>
    <mergeCell ref="C116:C117"/>
    <mergeCell ref="D116:D117"/>
    <mergeCell ref="E116:E117"/>
    <mergeCell ref="S116:S117"/>
    <mergeCell ref="A122:A123"/>
    <mergeCell ref="B122:B123"/>
    <mergeCell ref="C122:C123"/>
    <mergeCell ref="D122:D123"/>
    <mergeCell ref="E122:E123"/>
    <mergeCell ref="S122:S123"/>
    <mergeCell ref="A120:A121"/>
    <mergeCell ref="B120:B121"/>
    <mergeCell ref="C120:C121"/>
    <mergeCell ref="D120:D121"/>
    <mergeCell ref="E120:E121"/>
    <mergeCell ref="S120:S121"/>
    <mergeCell ref="A126:A127"/>
    <mergeCell ref="B126:B127"/>
    <mergeCell ref="C126:C127"/>
    <mergeCell ref="D126:D127"/>
    <mergeCell ref="E126:E127"/>
    <mergeCell ref="S126:S127"/>
    <mergeCell ref="A124:A125"/>
    <mergeCell ref="B124:B125"/>
    <mergeCell ref="C124:C125"/>
    <mergeCell ref="D124:D125"/>
    <mergeCell ref="E124:E125"/>
    <mergeCell ref="S124:S125"/>
    <mergeCell ref="A130:A131"/>
    <mergeCell ref="B130:B131"/>
    <mergeCell ref="C130:C131"/>
    <mergeCell ref="D130:D131"/>
    <mergeCell ref="E130:E131"/>
    <mergeCell ref="S130:S131"/>
    <mergeCell ref="A128:A129"/>
    <mergeCell ref="B128:B129"/>
    <mergeCell ref="C128:C129"/>
    <mergeCell ref="D128:D129"/>
    <mergeCell ref="E128:E129"/>
    <mergeCell ref="S128:S129"/>
    <mergeCell ref="A134:A135"/>
    <mergeCell ref="B134:B135"/>
    <mergeCell ref="C134:C135"/>
    <mergeCell ref="D134:D135"/>
    <mergeCell ref="E134:E135"/>
    <mergeCell ref="S134:S135"/>
    <mergeCell ref="A132:A133"/>
    <mergeCell ref="B132:B133"/>
    <mergeCell ref="C132:C133"/>
    <mergeCell ref="D132:D133"/>
    <mergeCell ref="E132:E133"/>
    <mergeCell ref="S132:S133"/>
    <mergeCell ref="A138:A139"/>
    <mergeCell ref="B138:B139"/>
    <mergeCell ref="C138:C139"/>
    <mergeCell ref="D138:D139"/>
    <mergeCell ref="E138:E139"/>
    <mergeCell ref="S138:S139"/>
    <mergeCell ref="A136:A137"/>
    <mergeCell ref="B136:B137"/>
    <mergeCell ref="C136:C137"/>
    <mergeCell ref="D136:D137"/>
    <mergeCell ref="E136:E137"/>
    <mergeCell ref="S136:S137"/>
    <mergeCell ref="A142:A143"/>
    <mergeCell ref="B142:B143"/>
    <mergeCell ref="C142:C143"/>
    <mergeCell ref="D142:D143"/>
    <mergeCell ref="E142:E143"/>
    <mergeCell ref="S142:S143"/>
    <mergeCell ref="A140:A141"/>
    <mergeCell ref="B140:B141"/>
    <mergeCell ref="C140:C141"/>
    <mergeCell ref="D140:D141"/>
    <mergeCell ref="E140:E141"/>
    <mergeCell ref="S140:S141"/>
    <mergeCell ref="A146:A147"/>
    <mergeCell ref="B146:B147"/>
    <mergeCell ref="C146:C147"/>
    <mergeCell ref="D146:D147"/>
    <mergeCell ref="E146:E147"/>
    <mergeCell ref="S146:S147"/>
    <mergeCell ref="A144:A145"/>
    <mergeCell ref="B144:B145"/>
    <mergeCell ref="C144:C145"/>
    <mergeCell ref="D144:D145"/>
    <mergeCell ref="E144:E145"/>
    <mergeCell ref="S144:S145"/>
    <mergeCell ref="A150:A151"/>
    <mergeCell ref="B150:B151"/>
    <mergeCell ref="C150:C151"/>
    <mergeCell ref="D150:D151"/>
    <mergeCell ref="E150:E151"/>
    <mergeCell ref="S150:S151"/>
    <mergeCell ref="A148:A149"/>
    <mergeCell ref="B148:B149"/>
    <mergeCell ref="C148:C149"/>
    <mergeCell ref="D148:D149"/>
    <mergeCell ref="E148:E149"/>
    <mergeCell ref="S148:S149"/>
    <mergeCell ref="A154:A155"/>
    <mergeCell ref="B154:B155"/>
    <mergeCell ref="C154:C155"/>
    <mergeCell ref="D154:D155"/>
    <mergeCell ref="E154:E155"/>
    <mergeCell ref="S154:S155"/>
    <mergeCell ref="A152:A153"/>
    <mergeCell ref="B152:B153"/>
    <mergeCell ref="C152:C153"/>
    <mergeCell ref="D152:D153"/>
    <mergeCell ref="E152:E153"/>
    <mergeCell ref="S152:S153"/>
  </mergeCells>
  <phoneticPr fontId="2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價格</vt:lpstr>
      <vt:lpstr>魚類月份</vt:lpstr>
      <vt:lpstr>蟲類月份</vt:lpstr>
      <vt:lpstr>fish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Mars</dc:creator>
  <cp:lastModifiedBy>Windows 使用者</cp:lastModifiedBy>
  <dcterms:created xsi:type="dcterms:W3CDTF">2020-03-28T10:53:38Z</dcterms:created>
  <dcterms:modified xsi:type="dcterms:W3CDTF">2020-03-29T03:30:45Z</dcterms:modified>
</cp:coreProperties>
</file>